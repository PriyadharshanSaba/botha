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6783612bd878d137/Desktop/"/>
    </mc:Choice>
  </mc:AlternateContent>
  <xr:revisionPtr revIDLastSave="0" documentId="13_ncr:1_{CC0820C6-A23F-454E-819C-826216B9C1A3}" xr6:coauthVersionLast="47" xr6:coauthVersionMax="47" xr10:uidLastSave="{00000000-0000-0000-0000-000000000000}"/>
  <bookViews>
    <workbookView xWindow="-108" yWindow="-108" windowWidth="23256" windowHeight="12456" tabRatio="500" xr2:uid="{00000000-000D-0000-FFFF-FFFF00000000}"/>
  </bookViews>
  <sheets>
    <sheet name="📊 Dashboard" sheetId="1" r:id="rId1"/>
    <sheet name="Banking &amp; NBFC" sheetId="2" r:id="rId2"/>
    <sheet name="IT &amp; Technology" sheetId="3" r:id="rId3"/>
    <sheet name="Pharmaceuticals" sheetId="4" r:id="rId4"/>
    <sheet name="Automobiles" sheetId="5" r:id="rId5"/>
    <sheet name="FMCG &amp; Consumer" sheetId="6" r:id="rId6"/>
    <sheet name="Energy &amp; Oil" sheetId="7" r:id="rId7"/>
    <sheet name="Infrastructure" sheetId="8" r:id="rId8"/>
    <sheet name="Metals &amp; Mining" sheetId="9" r:id="rId9"/>
    <sheet name="Telecom" sheetId="10" r:id="rId10"/>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71" i="10" l="1"/>
  <c r="B70" i="10"/>
  <c r="B69" i="10"/>
  <c r="B66" i="10"/>
  <c r="B65" i="10"/>
  <c r="B29" i="10"/>
  <c r="B30" i="10" s="1"/>
  <c r="B41" i="10" s="1"/>
  <c r="H152" i="10"/>
  <c r="B68" i="9"/>
  <c r="B67" i="9"/>
  <c r="B66" i="9"/>
  <c r="B63" i="9"/>
  <c r="B62" i="9"/>
  <c r="H149" i="9"/>
  <c r="B62" i="8"/>
  <c r="B32" i="8"/>
  <c r="B68" i="7"/>
  <c r="B67" i="7"/>
  <c r="B66" i="7"/>
  <c r="B62" i="7"/>
  <c r="B63" i="7"/>
  <c r="B70" i="5"/>
  <c r="B69" i="5"/>
  <c r="B68" i="5"/>
  <c r="B65" i="5"/>
  <c r="B64" i="5"/>
  <c r="H148" i="8"/>
  <c r="H149" i="7"/>
  <c r="B26" i="5"/>
  <c r="H151" i="5"/>
  <c r="B50" i="4"/>
  <c r="B37" i="4"/>
  <c r="B29" i="4"/>
  <c r="B43" i="4" s="1"/>
  <c r="H154" i="4"/>
  <c r="H32" i="3"/>
  <c r="G152" i="10"/>
  <c r="F152" i="10"/>
  <c r="E152" i="10"/>
  <c r="D152" i="10"/>
  <c r="C152" i="10"/>
  <c r="B140" i="10"/>
  <c r="B139" i="10"/>
  <c r="B147" i="10" s="1"/>
  <c r="B135" i="10"/>
  <c r="B134" i="10"/>
  <c r="B133" i="10"/>
  <c r="B132" i="10"/>
  <c r="B131" i="10"/>
  <c r="B130" i="10"/>
  <c r="B123" i="10"/>
  <c r="B100" i="10"/>
  <c r="B58" i="10"/>
  <c r="B52" i="10"/>
  <c r="B51" i="10"/>
  <c r="B50" i="10"/>
  <c r="B49" i="10"/>
  <c r="B48" i="10"/>
  <c r="B47" i="10"/>
  <c r="B38" i="10"/>
  <c r="B34" i="10"/>
  <c r="B35" i="10" s="1"/>
  <c r="B25" i="10"/>
  <c r="B39" i="10" s="1"/>
  <c r="G149" i="9"/>
  <c r="F149" i="9"/>
  <c r="E149" i="9"/>
  <c r="D149" i="9"/>
  <c r="C149" i="9"/>
  <c r="B137" i="9"/>
  <c r="B136" i="9"/>
  <c r="B143" i="9" s="1"/>
  <c r="B132" i="9"/>
  <c r="B131" i="9"/>
  <c r="B130" i="9"/>
  <c r="B129" i="9"/>
  <c r="B128" i="9"/>
  <c r="B127" i="9"/>
  <c r="B120" i="9"/>
  <c r="B97" i="9"/>
  <c r="B55" i="9"/>
  <c r="B49" i="9"/>
  <c r="B48" i="9"/>
  <c r="B47" i="9"/>
  <c r="B46" i="9"/>
  <c r="B45" i="9"/>
  <c r="B36" i="9"/>
  <c r="B32" i="9"/>
  <c r="B33" i="9" s="1"/>
  <c r="B28" i="9"/>
  <c r="B39" i="9" s="1"/>
  <c r="B24" i="9"/>
  <c r="B37" i="9" s="1"/>
  <c r="G148" i="8"/>
  <c r="F148" i="8"/>
  <c r="E148" i="8"/>
  <c r="D148" i="8"/>
  <c r="C148" i="8"/>
  <c r="B136" i="8"/>
  <c r="B135" i="8"/>
  <c r="B142" i="8" s="1"/>
  <c r="B131" i="8"/>
  <c r="B130" i="8"/>
  <c r="B129" i="8"/>
  <c r="B128" i="8"/>
  <c r="B127" i="8"/>
  <c r="B126" i="8"/>
  <c r="B119" i="8"/>
  <c r="B96" i="8"/>
  <c r="B54" i="8"/>
  <c r="B48" i="8"/>
  <c r="B47" i="8"/>
  <c r="B46" i="8"/>
  <c r="B45" i="8"/>
  <c r="B36" i="8"/>
  <c r="B28" i="8"/>
  <c r="B39" i="8" s="1"/>
  <c r="B24" i="8"/>
  <c r="B25" i="8" s="1"/>
  <c r="B59" i="8" s="1"/>
  <c r="G149" i="7"/>
  <c r="F149" i="7"/>
  <c r="E149" i="7"/>
  <c r="D149" i="7"/>
  <c r="C149" i="7"/>
  <c r="B137" i="7"/>
  <c r="B136" i="7"/>
  <c r="B144" i="7" s="1"/>
  <c r="B132" i="7"/>
  <c r="B131" i="7"/>
  <c r="B130" i="7"/>
  <c r="B129" i="7"/>
  <c r="B128" i="7"/>
  <c r="B127" i="7"/>
  <c r="B120" i="7"/>
  <c r="B97" i="7"/>
  <c r="B55" i="7"/>
  <c r="B49" i="7"/>
  <c r="B48" i="7"/>
  <c r="B47" i="7"/>
  <c r="B46" i="7"/>
  <c r="B45" i="7"/>
  <c r="B36" i="7"/>
  <c r="B32" i="7"/>
  <c r="B40" i="7" s="1"/>
  <c r="B28" i="7"/>
  <c r="B39" i="7" s="1"/>
  <c r="B24" i="7"/>
  <c r="B25" i="7" s="1"/>
  <c r="B60" i="7" s="1"/>
  <c r="B139" i="6"/>
  <c r="B138" i="6"/>
  <c r="B134" i="6"/>
  <c r="B133" i="6"/>
  <c r="B132" i="6"/>
  <c r="B131" i="6"/>
  <c r="B130" i="6"/>
  <c r="B129" i="6"/>
  <c r="B122" i="6"/>
  <c r="B121" i="6"/>
  <c r="B118" i="6"/>
  <c r="G151" i="6" s="1"/>
  <c r="B99" i="6"/>
  <c r="B58" i="6"/>
  <c r="B52" i="6"/>
  <c r="B51" i="6"/>
  <c r="B50" i="6"/>
  <c r="B49" i="6"/>
  <c r="B48" i="6"/>
  <c r="B40" i="6"/>
  <c r="B31" i="6"/>
  <c r="B27" i="6"/>
  <c r="B41" i="6" s="1"/>
  <c r="G151" i="5"/>
  <c r="F151" i="5"/>
  <c r="E151" i="5"/>
  <c r="D151" i="5"/>
  <c r="C151" i="5"/>
  <c r="B139" i="5"/>
  <c r="B138" i="5"/>
  <c r="B146" i="5" s="1"/>
  <c r="B134" i="5"/>
  <c r="B133" i="5"/>
  <c r="B132" i="5"/>
  <c r="B131" i="5"/>
  <c r="B130" i="5"/>
  <c r="B129" i="5"/>
  <c r="B122" i="5"/>
  <c r="B99" i="5"/>
  <c r="B57" i="5"/>
  <c r="B51" i="5"/>
  <c r="B50" i="5"/>
  <c r="B49" i="5"/>
  <c r="B48" i="5"/>
  <c r="B47" i="5"/>
  <c r="B39" i="5"/>
  <c r="B38" i="5"/>
  <c r="B34" i="5"/>
  <c r="B42" i="5" s="1"/>
  <c r="B30" i="5"/>
  <c r="B27" i="5"/>
  <c r="B62" i="5" s="1"/>
  <c r="B142" i="4"/>
  <c r="B141" i="4"/>
  <c r="B137" i="4"/>
  <c r="B136" i="4"/>
  <c r="B135" i="4"/>
  <c r="B134" i="4"/>
  <c r="B133" i="4"/>
  <c r="B132" i="4"/>
  <c r="B125" i="4"/>
  <c r="B124" i="4"/>
  <c r="B121" i="4"/>
  <c r="D154" i="4" s="1"/>
  <c r="B102" i="4"/>
  <c r="B61" i="4"/>
  <c r="B55" i="4"/>
  <c r="B54" i="4"/>
  <c r="B53" i="4"/>
  <c r="B52" i="4"/>
  <c r="B51" i="4"/>
  <c r="B42" i="4"/>
  <c r="B38" i="4"/>
  <c r="B39" i="4" s="1"/>
  <c r="B34" i="4"/>
  <c r="B67" i="4" s="1"/>
  <c r="B33" i="4"/>
  <c r="B44" i="4" s="1"/>
  <c r="B110" i="3"/>
  <c r="C105" i="3"/>
  <c r="C104" i="3"/>
  <c r="C103" i="3"/>
  <c r="C101" i="3"/>
  <c r="C100" i="3"/>
  <c r="C99" i="3"/>
  <c r="B69" i="3"/>
  <c r="B63" i="3"/>
  <c r="B62" i="3"/>
  <c r="B61" i="3"/>
  <c r="B60" i="3"/>
  <c r="B59" i="3"/>
  <c r="B51" i="3"/>
  <c r="B46" i="3"/>
  <c r="B47" i="3" s="1"/>
  <c r="B41" i="3"/>
  <c r="B53" i="3" s="1"/>
  <c r="G32" i="3"/>
  <c r="F32" i="3"/>
  <c r="E32" i="3"/>
  <c r="D32" i="3"/>
  <c r="C32" i="3"/>
  <c r="B28" i="3"/>
  <c r="B27" i="3"/>
  <c r="C27" i="3" s="1"/>
  <c r="B106" i="2"/>
  <c r="B64" i="2"/>
  <c r="B58" i="2"/>
  <c r="B57" i="2"/>
  <c r="B56" i="2"/>
  <c r="B55" i="2"/>
  <c r="B46" i="2"/>
  <c r="B42" i="2"/>
  <c r="B43" i="2" s="1"/>
  <c r="B72" i="2" s="1"/>
  <c r="B38" i="2"/>
  <c r="B49" i="2" s="1"/>
  <c r="B32" i="2"/>
  <c r="B33" i="2" s="1"/>
  <c r="B48" i="2" s="1"/>
  <c r="B28" i="2"/>
  <c r="B47" i="2" s="1"/>
  <c r="B42" i="10" l="1"/>
  <c r="B26" i="10"/>
  <c r="B63" i="10" s="1"/>
  <c r="B25" i="9"/>
  <c r="B60" i="9" s="1"/>
  <c r="B29" i="9"/>
  <c r="B61" i="9" s="1"/>
  <c r="B40" i="9"/>
  <c r="B138" i="9"/>
  <c r="B137" i="8"/>
  <c r="B29" i="8"/>
  <c r="B60" i="8" s="1"/>
  <c r="B138" i="7"/>
  <c r="B37" i="7"/>
  <c r="B29" i="7"/>
  <c r="B61" i="7" s="1"/>
  <c r="B28" i="6"/>
  <c r="B63" i="6" s="1"/>
  <c r="F151" i="6"/>
  <c r="H151" i="6"/>
  <c r="B35" i="5"/>
  <c r="B30" i="4"/>
  <c r="B66" i="4" s="1"/>
  <c r="D27" i="3"/>
  <c r="D28" i="3" s="1"/>
  <c r="D29" i="3" s="1"/>
  <c r="D30" i="3" s="1"/>
  <c r="D33" i="3" s="1"/>
  <c r="C28" i="3"/>
  <c r="C29" i="3" s="1"/>
  <c r="C30" i="3" s="1"/>
  <c r="C33" i="3" s="1"/>
  <c r="B42" i="3"/>
  <c r="B75" i="3" s="1"/>
  <c r="B50" i="2"/>
  <c r="B34" i="2"/>
  <c r="B70" i="2" s="1"/>
  <c r="B75" i="2" s="1"/>
  <c r="B29" i="2"/>
  <c r="B69" i="2" s="1"/>
  <c r="B39" i="2"/>
  <c r="B71" i="2" s="1"/>
  <c r="B51" i="2"/>
  <c r="E27" i="3"/>
  <c r="F27" i="3" s="1"/>
  <c r="B54" i="3"/>
  <c r="B48" i="3"/>
  <c r="B76" i="3" s="1"/>
  <c r="B148" i="4"/>
  <c r="B144" i="4"/>
  <c r="B150" i="4" s="1"/>
  <c r="C141" i="4"/>
  <c r="B149" i="4"/>
  <c r="B31" i="5"/>
  <c r="B63" i="5" s="1"/>
  <c r="B40" i="5"/>
  <c r="B143" i="4"/>
  <c r="B140" i="6"/>
  <c r="B143" i="7"/>
  <c r="B139" i="7"/>
  <c r="C136" i="7"/>
  <c r="B32" i="6"/>
  <c r="B64" i="6" s="1"/>
  <c r="B42" i="6"/>
  <c r="B145" i="6"/>
  <c r="B141" i="6"/>
  <c r="C138" i="6"/>
  <c r="G154" i="4"/>
  <c r="C154" i="4"/>
  <c r="F154" i="4"/>
  <c r="E154" i="4"/>
  <c r="B140" i="5"/>
  <c r="B146" i="6"/>
  <c r="B40" i="8"/>
  <c r="B33" i="8"/>
  <c r="B61" i="8" s="1"/>
  <c r="C138" i="5"/>
  <c r="B141" i="5"/>
  <c r="B147" i="5" s="1"/>
  <c r="B145" i="5"/>
  <c r="D151" i="6"/>
  <c r="B33" i="7"/>
  <c r="B37" i="8"/>
  <c r="E151" i="6"/>
  <c r="C151" i="6"/>
  <c r="C139" i="10"/>
  <c r="B142" i="10"/>
  <c r="B148" i="10" s="1"/>
  <c r="B146" i="10"/>
  <c r="B143" i="8"/>
  <c r="B144" i="9"/>
  <c r="B141" i="10"/>
  <c r="C135" i="8"/>
  <c r="B138" i="8"/>
  <c r="C136" i="9"/>
  <c r="B139" i="9"/>
  <c r="B31" i="10"/>
  <c r="B64" i="10" s="1"/>
  <c r="B67" i="8" l="1"/>
  <c r="B66" i="8"/>
  <c r="B65" i="8"/>
  <c r="B77" i="2"/>
  <c r="B76" i="2"/>
  <c r="B95" i="2"/>
  <c r="B52" i="2"/>
  <c r="B139" i="8"/>
  <c r="B144" i="8"/>
  <c r="C142" i="8"/>
  <c r="C138" i="8"/>
  <c r="C144" i="8" s="1"/>
  <c r="D135" i="8"/>
  <c r="C143" i="8"/>
  <c r="C136" i="8"/>
  <c r="B145" i="7"/>
  <c r="B140" i="7"/>
  <c r="B140" i="9"/>
  <c r="B145" i="9"/>
  <c r="B143" i="10"/>
  <c r="B145" i="4"/>
  <c r="C143" i="9"/>
  <c r="C139" i="9"/>
  <c r="C145" i="9" s="1"/>
  <c r="D136" i="9"/>
  <c r="C144" i="9"/>
  <c r="C137" i="9"/>
  <c r="C140" i="10"/>
  <c r="C146" i="10"/>
  <c r="C142" i="10"/>
  <c r="C148" i="10" s="1"/>
  <c r="D139" i="10"/>
  <c r="C147" i="10"/>
  <c r="B142" i="5"/>
  <c r="C146" i="6"/>
  <c r="C145" i="6"/>
  <c r="C141" i="6"/>
  <c r="C147" i="6" s="1"/>
  <c r="D138" i="6"/>
  <c r="C139" i="6"/>
  <c r="E28" i="3"/>
  <c r="E29" i="3" s="1"/>
  <c r="E30" i="3" s="1"/>
  <c r="E33" i="3" s="1"/>
  <c r="C145" i="5"/>
  <c r="C141" i="5"/>
  <c r="C147" i="5" s="1"/>
  <c r="D138" i="5"/>
  <c r="C146" i="5"/>
  <c r="C139" i="5"/>
  <c r="B147" i="6"/>
  <c r="B142" i="6"/>
  <c r="C144" i="7"/>
  <c r="C143" i="7"/>
  <c r="C139" i="7"/>
  <c r="C145" i="7" s="1"/>
  <c r="D136" i="7"/>
  <c r="C137" i="7"/>
  <c r="C149" i="4"/>
  <c r="C142" i="4"/>
  <c r="C148" i="4"/>
  <c r="C144" i="4"/>
  <c r="C150" i="4" s="1"/>
  <c r="D141" i="4"/>
  <c r="B107" i="2"/>
  <c r="B99" i="2"/>
  <c r="C99" i="2" s="1"/>
  <c r="B96" i="2"/>
  <c r="C96" i="2" s="1"/>
  <c r="B98" i="2"/>
  <c r="C98" i="2" s="1"/>
  <c r="B97" i="2"/>
  <c r="C97" i="2" s="1"/>
  <c r="B100" i="2"/>
  <c r="C100" i="2" s="1"/>
  <c r="B65" i="2"/>
  <c r="D142" i="4" l="1"/>
  <c r="E141" i="4"/>
  <c r="D149" i="4"/>
  <c r="D148" i="4"/>
  <c r="D144" i="4"/>
  <c r="D150" i="4" s="1"/>
  <c r="B146" i="4"/>
  <c r="B147" i="4" s="1"/>
  <c r="D143" i="8"/>
  <c r="D136" i="8"/>
  <c r="D142" i="8"/>
  <c r="D138" i="8"/>
  <c r="D144" i="8" s="1"/>
  <c r="E135" i="8"/>
  <c r="B140" i="8"/>
  <c r="B141" i="8" s="1"/>
  <c r="B81" i="2"/>
  <c r="B66" i="2"/>
  <c r="B80" i="2"/>
  <c r="C140" i="7"/>
  <c r="C138" i="7"/>
  <c r="D144" i="9"/>
  <c r="D137" i="9"/>
  <c r="D143" i="9"/>
  <c r="D139" i="9"/>
  <c r="D145" i="9" s="1"/>
  <c r="E136" i="9"/>
  <c r="B141" i="9"/>
  <c r="B142" i="9" s="1"/>
  <c r="D137" i="7"/>
  <c r="D143" i="7"/>
  <c r="D139" i="7"/>
  <c r="D145" i="7" s="1"/>
  <c r="E136" i="7"/>
  <c r="D144" i="7"/>
  <c r="B143" i="6"/>
  <c r="B144" i="6" s="1"/>
  <c r="D146" i="5"/>
  <c r="D139" i="5"/>
  <c r="D141" i="5"/>
  <c r="D147" i="5" s="1"/>
  <c r="D145" i="5"/>
  <c r="E138" i="5"/>
  <c r="F28" i="3"/>
  <c r="F29" i="3" s="1"/>
  <c r="F30" i="3" s="1"/>
  <c r="F33" i="3" s="1"/>
  <c r="G27" i="3"/>
  <c r="C142" i="6"/>
  <c r="C140" i="6"/>
  <c r="C141" i="10"/>
  <c r="C143" i="10"/>
  <c r="C139" i="8"/>
  <c r="C137" i="8"/>
  <c r="C142" i="5"/>
  <c r="C140" i="5"/>
  <c r="C95" i="2"/>
  <c r="B101" i="2"/>
  <c r="C101" i="2" s="1"/>
  <c r="C145" i="4"/>
  <c r="C143" i="4"/>
  <c r="D139" i="6"/>
  <c r="D145" i="6"/>
  <c r="D141" i="6"/>
  <c r="D147" i="6" s="1"/>
  <c r="E138" i="6"/>
  <c r="D146" i="6"/>
  <c r="B143" i="5"/>
  <c r="B144" i="5" s="1"/>
  <c r="D146" i="10"/>
  <c r="D142" i="10"/>
  <c r="D148" i="10" s="1"/>
  <c r="E139" i="10"/>
  <c r="D147" i="10"/>
  <c r="D140" i="10"/>
  <c r="C140" i="9"/>
  <c r="C138" i="9"/>
  <c r="B144" i="10"/>
  <c r="B145" i="10" s="1"/>
  <c r="B141" i="7"/>
  <c r="B142" i="7" s="1"/>
  <c r="D141" i="10" l="1"/>
  <c r="D143" i="10"/>
  <c r="E146" i="6"/>
  <c r="E139" i="6"/>
  <c r="E141" i="6"/>
  <c r="E147" i="6" s="1"/>
  <c r="E145" i="6"/>
  <c r="F138" i="6"/>
  <c r="C146" i="4"/>
  <c r="C147" i="4" s="1"/>
  <c r="C151" i="4" s="1"/>
  <c r="C155" i="4" s="1"/>
  <c r="C143" i="5"/>
  <c r="C144" i="5" s="1"/>
  <c r="C148" i="5" s="1"/>
  <c r="C152" i="5" s="1"/>
  <c r="C143" i="6"/>
  <c r="C144" i="6" s="1"/>
  <c r="C148" i="6" s="1"/>
  <c r="C152" i="6" s="1"/>
  <c r="E137" i="9"/>
  <c r="E143" i="9"/>
  <c r="E139" i="9"/>
  <c r="E145" i="9" s="1"/>
  <c r="F136" i="9"/>
  <c r="E144" i="9"/>
  <c r="C141" i="7"/>
  <c r="C142" i="7" s="1"/>
  <c r="C146" i="7" s="1"/>
  <c r="C150" i="7" s="1"/>
  <c r="E146" i="10"/>
  <c r="E142" i="10"/>
  <c r="E148" i="10" s="1"/>
  <c r="F139" i="10"/>
  <c r="E147" i="10"/>
  <c r="E140" i="10"/>
  <c r="C144" i="10"/>
  <c r="C145" i="10" s="1"/>
  <c r="C149" i="10" s="1"/>
  <c r="C153" i="10" s="1"/>
  <c r="G28" i="3"/>
  <c r="G29" i="3" s="1"/>
  <c r="G30" i="3" s="1"/>
  <c r="D139" i="8"/>
  <c r="D137" i="8"/>
  <c r="E148" i="4"/>
  <c r="E142" i="4"/>
  <c r="F141" i="4"/>
  <c r="E144" i="4"/>
  <c r="E150" i="4" s="1"/>
  <c r="E149" i="4"/>
  <c r="C141" i="9"/>
  <c r="C142" i="9" s="1"/>
  <c r="C146" i="9" s="1"/>
  <c r="C150" i="9" s="1"/>
  <c r="D142" i="6"/>
  <c r="D140" i="6"/>
  <c r="C140" i="8"/>
  <c r="C141" i="8" s="1"/>
  <c r="C145" i="8" s="1"/>
  <c r="C149" i="8" s="1"/>
  <c r="D140" i="5"/>
  <c r="D142" i="5"/>
  <c r="D140" i="7"/>
  <c r="D138" i="7"/>
  <c r="E136" i="8"/>
  <c r="E142" i="8"/>
  <c r="E138" i="8"/>
  <c r="E144" i="8" s="1"/>
  <c r="F135" i="8"/>
  <c r="E143" i="8"/>
  <c r="D145" i="4"/>
  <c r="D143" i="4"/>
  <c r="E141" i="5"/>
  <c r="E147" i="5" s="1"/>
  <c r="F138" i="5"/>
  <c r="E139" i="5"/>
  <c r="E145" i="5"/>
  <c r="E146" i="5"/>
  <c r="E144" i="7"/>
  <c r="E137" i="7"/>
  <c r="F136" i="7"/>
  <c r="E139" i="7"/>
  <c r="E145" i="7" s="1"/>
  <c r="E143" i="7"/>
  <c r="D140" i="9"/>
  <c r="D138" i="9"/>
  <c r="G33" i="3" l="1"/>
  <c r="H31" i="3"/>
  <c r="H33" i="3" s="1"/>
  <c r="B34" i="3" s="1"/>
  <c r="B35" i="3" s="1"/>
  <c r="B36" i="3" s="1"/>
  <c r="F143" i="7"/>
  <c r="F139" i="7"/>
  <c r="F145" i="7" s="1"/>
  <c r="G136" i="7"/>
  <c r="F137" i="7"/>
  <c r="F144" i="7"/>
  <c r="E138" i="7"/>
  <c r="E140" i="7"/>
  <c r="E140" i="6"/>
  <c r="E142" i="6"/>
  <c r="D146" i="4"/>
  <c r="D147" i="4" s="1"/>
  <c r="D151" i="4" s="1"/>
  <c r="D155" i="4" s="1"/>
  <c r="F145" i="5"/>
  <c r="F141" i="5"/>
  <c r="F147" i="5" s="1"/>
  <c r="G138" i="5"/>
  <c r="F146" i="5"/>
  <c r="F139" i="5"/>
  <c r="E137" i="8"/>
  <c r="E139" i="8"/>
  <c r="D143" i="6"/>
  <c r="D144" i="6" s="1"/>
  <c r="D148" i="6" s="1"/>
  <c r="D152" i="6" s="1"/>
  <c r="F147" i="10"/>
  <c r="F140" i="10"/>
  <c r="F146" i="10"/>
  <c r="F142" i="10"/>
  <c r="F148" i="10" s="1"/>
  <c r="G139" i="10"/>
  <c r="F145" i="6"/>
  <c r="F141" i="6"/>
  <c r="F147" i="6" s="1"/>
  <c r="F139" i="6"/>
  <c r="G138" i="6"/>
  <c r="F146" i="6"/>
  <c r="D141" i="9"/>
  <c r="D142" i="9" s="1"/>
  <c r="D146" i="9" s="1"/>
  <c r="D150" i="9" s="1"/>
  <c r="E140" i="5"/>
  <c r="E142" i="5"/>
  <c r="D143" i="5"/>
  <c r="D144" i="5" s="1"/>
  <c r="D148" i="5" s="1"/>
  <c r="D152" i="5" s="1"/>
  <c r="F142" i="8"/>
  <c r="F138" i="8"/>
  <c r="F144" i="8" s="1"/>
  <c r="G135" i="8"/>
  <c r="F143" i="8"/>
  <c r="F136" i="8"/>
  <c r="F149" i="4"/>
  <c r="F148" i="4"/>
  <c r="F144" i="4"/>
  <c r="F150" i="4" s="1"/>
  <c r="G141" i="4"/>
  <c r="F142" i="4"/>
  <c r="D140" i="8"/>
  <c r="D141" i="8" s="1"/>
  <c r="D145" i="8" s="1"/>
  <c r="D149" i="8" s="1"/>
  <c r="E138" i="9"/>
  <c r="E140" i="9"/>
  <c r="D144" i="10"/>
  <c r="D145" i="10" s="1"/>
  <c r="D149" i="10" s="1"/>
  <c r="D153" i="10" s="1"/>
  <c r="D141" i="7"/>
  <c r="D142" i="7"/>
  <c r="D146" i="7" s="1"/>
  <c r="D150" i="7" s="1"/>
  <c r="E143" i="4"/>
  <c r="E145" i="4"/>
  <c r="E143" i="10"/>
  <c r="E141" i="10"/>
  <c r="F143" i="9"/>
  <c r="F139" i="9"/>
  <c r="F145" i="9" s="1"/>
  <c r="G136" i="9"/>
  <c r="F144" i="9"/>
  <c r="F137" i="9"/>
  <c r="B52" i="3" l="1"/>
  <c r="B55" i="3" s="1"/>
  <c r="B37" i="3"/>
  <c r="B74" i="3" s="1"/>
  <c r="G149" i="4"/>
  <c r="G144" i="4"/>
  <c r="G150" i="4" s="1"/>
  <c r="G148" i="4"/>
  <c r="G142" i="4"/>
  <c r="F137" i="8"/>
  <c r="F139" i="8"/>
  <c r="G146" i="6"/>
  <c r="G145" i="6"/>
  <c r="G141" i="6"/>
  <c r="G147" i="6" s="1"/>
  <c r="G139" i="6"/>
  <c r="G140" i="10"/>
  <c r="G146" i="10"/>
  <c r="G142" i="10"/>
  <c r="G148" i="10" s="1"/>
  <c r="G147" i="10"/>
  <c r="E143" i="6"/>
  <c r="E144" i="6" s="1"/>
  <c r="E148" i="6" s="1"/>
  <c r="E152" i="6" s="1"/>
  <c r="F138" i="9"/>
  <c r="F140" i="9"/>
  <c r="E146" i="4"/>
  <c r="E147" i="4" s="1"/>
  <c r="E151" i="4" s="1"/>
  <c r="E155" i="4" s="1"/>
  <c r="F140" i="6"/>
  <c r="F142" i="6"/>
  <c r="F140" i="5"/>
  <c r="F142" i="5"/>
  <c r="G142" i="8"/>
  <c r="G138" i="8"/>
  <c r="G144" i="8" s="1"/>
  <c r="G143" i="8"/>
  <c r="G136" i="8"/>
  <c r="F138" i="7"/>
  <c r="F140" i="7"/>
  <c r="G143" i="9"/>
  <c r="G139" i="9"/>
  <c r="G145" i="9" s="1"/>
  <c r="G144" i="9"/>
  <c r="G137" i="9"/>
  <c r="E144" i="10"/>
  <c r="E145" i="10" s="1"/>
  <c r="E149" i="10" s="1"/>
  <c r="E153" i="10" s="1"/>
  <c r="E141" i="9"/>
  <c r="E142" i="9" s="1"/>
  <c r="E146" i="9" s="1"/>
  <c r="E150" i="9" s="1"/>
  <c r="F145" i="4"/>
  <c r="F143" i="4"/>
  <c r="E143" i="5"/>
  <c r="E144" i="5" s="1"/>
  <c r="E148" i="5" s="1"/>
  <c r="E152" i="5" s="1"/>
  <c r="F143" i="10"/>
  <c r="F141" i="10"/>
  <c r="E140" i="8"/>
  <c r="E141" i="8" s="1"/>
  <c r="E145" i="8" s="1"/>
  <c r="E149" i="8" s="1"/>
  <c r="G145" i="5"/>
  <c r="G141" i="5"/>
  <c r="G147" i="5" s="1"/>
  <c r="G146" i="5"/>
  <c r="G139" i="5"/>
  <c r="E141" i="7"/>
  <c r="E142" i="7" s="1"/>
  <c r="E146" i="7" s="1"/>
  <c r="E150" i="7" s="1"/>
  <c r="G144" i="7"/>
  <c r="G143" i="7"/>
  <c r="G139" i="7"/>
  <c r="G145" i="7" s="1"/>
  <c r="G137" i="7"/>
  <c r="G140" i="7" l="1"/>
  <c r="G138" i="7"/>
  <c r="G140" i="9"/>
  <c r="G138" i="9"/>
  <c r="F143" i="5"/>
  <c r="F144" i="5" s="1"/>
  <c r="F148" i="5" s="1"/>
  <c r="F152" i="5" s="1"/>
  <c r="F140" i="8"/>
  <c r="F141" i="8" s="1"/>
  <c r="F145" i="8" s="1"/>
  <c r="F149" i="8" s="1"/>
  <c r="B103" i="3"/>
  <c r="B102" i="3"/>
  <c r="B101" i="3"/>
  <c r="B100" i="3"/>
  <c r="B99" i="3"/>
  <c r="B70" i="3"/>
  <c r="B104" i="3"/>
  <c r="B56" i="3"/>
  <c r="F141" i="7"/>
  <c r="F142" i="7" s="1"/>
  <c r="F146" i="7" s="1"/>
  <c r="F150" i="7" s="1"/>
  <c r="F143" i="6"/>
  <c r="F144" i="6" s="1"/>
  <c r="F148" i="6" s="1"/>
  <c r="F152" i="6" s="1"/>
  <c r="F141" i="9"/>
  <c r="F142" i="9" s="1"/>
  <c r="F146" i="9" s="1"/>
  <c r="F150" i="9" s="1"/>
  <c r="G141" i="10"/>
  <c r="G143" i="10"/>
  <c r="G145" i="4"/>
  <c r="G143" i="4"/>
  <c r="G142" i="5"/>
  <c r="G140" i="5"/>
  <c r="F144" i="10"/>
  <c r="F145" i="10" s="1"/>
  <c r="F149" i="10" s="1"/>
  <c r="F153" i="10" s="1"/>
  <c r="F146" i="4"/>
  <c r="F147" i="4" s="1"/>
  <c r="F151" i="4" s="1"/>
  <c r="F155" i="4" s="1"/>
  <c r="G139" i="8"/>
  <c r="G137" i="8"/>
  <c r="G142" i="6"/>
  <c r="G140" i="6"/>
  <c r="B81" i="3"/>
  <c r="B79" i="3"/>
  <c r="B80" i="3"/>
  <c r="G144" i="10" l="1"/>
  <c r="G145" i="10" s="1"/>
  <c r="G149" i="10" s="1"/>
  <c r="B85" i="3"/>
  <c r="B84" i="3"/>
  <c r="B71" i="3"/>
  <c r="E100" i="3"/>
  <c r="D100" i="3"/>
  <c r="D103" i="3"/>
  <c r="E103" i="3"/>
  <c r="G141" i="7"/>
  <c r="G142" i="7" s="1"/>
  <c r="G146" i="7" s="1"/>
  <c r="G143" i="6"/>
  <c r="G144" i="6" s="1"/>
  <c r="G148" i="6" s="1"/>
  <c r="G143" i="5"/>
  <c r="G144" i="5" s="1"/>
  <c r="G148" i="5" s="1"/>
  <c r="D104" i="3"/>
  <c r="E104" i="3"/>
  <c r="E101" i="3"/>
  <c r="D101" i="3"/>
  <c r="D102" i="3"/>
  <c r="E102" i="3"/>
  <c r="G141" i="9"/>
  <c r="G142" i="9" s="1"/>
  <c r="G146" i="9" s="1"/>
  <c r="G140" i="8"/>
  <c r="G141" i="8" s="1"/>
  <c r="G145" i="8" s="1"/>
  <c r="G146" i="4"/>
  <c r="G147" i="4" s="1"/>
  <c r="G151" i="4" s="1"/>
  <c r="E99" i="3"/>
  <c r="D99" i="3"/>
  <c r="B105" i="3"/>
  <c r="B111" i="3"/>
  <c r="H147" i="8" l="1"/>
  <c r="H149" i="8" s="1"/>
  <c r="G149" i="8"/>
  <c r="H153" i="4"/>
  <c r="H155" i="4" s="1"/>
  <c r="G155" i="4"/>
  <c r="H148" i="9"/>
  <c r="H150" i="9" s="1"/>
  <c r="G150" i="9"/>
  <c r="G150" i="7"/>
  <c r="H148" i="7"/>
  <c r="H150" i="7" s="1"/>
  <c r="H151" i="10"/>
  <c r="H153" i="10" s="1"/>
  <c r="G153" i="10"/>
  <c r="G152" i="6"/>
  <c r="H150" i="6"/>
  <c r="H152" i="6" s="1"/>
  <c r="H150" i="5"/>
  <c r="H152" i="5" s="1"/>
  <c r="G152" i="5"/>
  <c r="D105" i="3"/>
  <c r="E105" i="3"/>
  <c r="B155" i="10" l="1"/>
  <c r="B156" i="10" s="1"/>
  <c r="B157" i="10" s="1"/>
  <c r="B152" i="9"/>
  <c r="B153" i="9" s="1"/>
  <c r="B154" i="9" s="1"/>
  <c r="B151" i="8"/>
  <c r="B152" i="8" s="1"/>
  <c r="B153" i="8" s="1"/>
  <c r="B152" i="7"/>
  <c r="B153" i="7" s="1"/>
  <c r="B154" i="7" s="1"/>
  <c r="B154" i="5"/>
  <c r="B155" i="5" s="1"/>
  <c r="B156" i="5" s="1"/>
  <c r="B157" i="4"/>
  <c r="B158" i="4" s="1"/>
  <c r="B159" i="4" s="1"/>
  <c r="B154" i="6"/>
  <c r="B158" i="10" l="1"/>
  <c r="B40" i="10"/>
  <c r="B43" i="10" s="1"/>
  <c r="B155" i="9"/>
  <c r="B38" i="9"/>
  <c r="B41" i="9" s="1"/>
  <c r="B154" i="8"/>
  <c r="B38" i="8"/>
  <c r="B41" i="8" s="1"/>
  <c r="B155" i="7"/>
  <c r="B38" i="7"/>
  <c r="B41" i="7" s="1"/>
  <c r="B155" i="6"/>
  <c r="B156" i="6" s="1"/>
  <c r="B36" i="6" s="1"/>
  <c r="B37" i="6" s="1"/>
  <c r="B35" i="6"/>
  <c r="B157" i="5"/>
  <c r="B41" i="5"/>
  <c r="B43" i="5" s="1"/>
  <c r="B160" i="4"/>
  <c r="B68" i="4" s="1"/>
  <c r="B45" i="4"/>
  <c r="B46" i="4" s="1"/>
  <c r="B92" i="10" l="1"/>
  <c r="C92" i="10" s="1"/>
  <c r="B93" i="10"/>
  <c r="C93" i="10" s="1"/>
  <c r="B90" i="10"/>
  <c r="C90" i="10" s="1"/>
  <c r="B91" i="10"/>
  <c r="C91" i="10" s="1"/>
  <c r="B59" i="10"/>
  <c r="B89" i="10"/>
  <c r="B94" i="10"/>
  <c r="C94" i="10" s="1"/>
  <c r="B44" i="10"/>
  <c r="B101" i="10"/>
  <c r="B86" i="9"/>
  <c r="B87" i="9"/>
  <c r="C87" i="9" s="1"/>
  <c r="B42" i="9"/>
  <c r="B56" i="9"/>
  <c r="B90" i="9"/>
  <c r="C90" i="9" s="1"/>
  <c r="B91" i="9"/>
  <c r="C91" i="9" s="1"/>
  <c r="B88" i="9"/>
  <c r="C88" i="9" s="1"/>
  <c r="B89" i="9"/>
  <c r="C89" i="9" s="1"/>
  <c r="B85" i="8"/>
  <c r="B55" i="8"/>
  <c r="B42" i="8"/>
  <c r="B89" i="8"/>
  <c r="C89" i="8" s="1"/>
  <c r="B86" i="8"/>
  <c r="C86" i="8" s="1"/>
  <c r="B90" i="8"/>
  <c r="C90" i="8" s="1"/>
  <c r="B88" i="8"/>
  <c r="C88" i="8" s="1"/>
  <c r="B87" i="8"/>
  <c r="C87" i="8" s="1"/>
  <c r="B88" i="7"/>
  <c r="C88" i="7" s="1"/>
  <c r="B87" i="7"/>
  <c r="C87" i="7" s="1"/>
  <c r="B86" i="7"/>
  <c r="B56" i="7"/>
  <c r="B91" i="7"/>
  <c r="C91" i="7" s="1"/>
  <c r="B98" i="7"/>
  <c r="B90" i="7"/>
  <c r="C90" i="7" s="1"/>
  <c r="B89" i="7"/>
  <c r="C89" i="7" s="1"/>
  <c r="B42" i="7"/>
  <c r="B43" i="6"/>
  <c r="B44" i="6" s="1"/>
  <c r="B89" i="6" s="1"/>
  <c r="C89" i="6" s="1"/>
  <c r="B157" i="6"/>
  <c r="B65" i="6" s="1"/>
  <c r="B90" i="5"/>
  <c r="C90" i="5" s="1"/>
  <c r="B89" i="5"/>
  <c r="C89" i="5" s="1"/>
  <c r="B88" i="5"/>
  <c r="B91" i="5"/>
  <c r="C91" i="5" s="1"/>
  <c r="B93" i="5"/>
  <c r="C93" i="5" s="1"/>
  <c r="B44" i="5"/>
  <c r="B100" i="5"/>
  <c r="B58" i="5"/>
  <c r="B92" i="5"/>
  <c r="C92" i="5" s="1"/>
  <c r="B68" i="6"/>
  <c r="B70" i="6"/>
  <c r="B69" i="6"/>
  <c r="B96" i="4"/>
  <c r="C96" i="4" s="1"/>
  <c r="B94" i="4"/>
  <c r="C94" i="4" s="1"/>
  <c r="B92" i="4"/>
  <c r="C92" i="4" s="1"/>
  <c r="B62" i="4"/>
  <c r="B47" i="4"/>
  <c r="B91" i="4"/>
  <c r="B95" i="4"/>
  <c r="C95" i="4" s="1"/>
  <c r="B93" i="4"/>
  <c r="C93" i="4" s="1"/>
  <c r="B72" i="4"/>
  <c r="B73" i="4"/>
  <c r="B71" i="4"/>
  <c r="B75" i="10" l="1"/>
  <c r="B60" i="10"/>
  <c r="B74" i="10"/>
  <c r="C89" i="10"/>
  <c r="B95" i="10"/>
  <c r="C95" i="10" s="1"/>
  <c r="B98" i="9"/>
  <c r="B92" i="9"/>
  <c r="C92" i="9" s="1"/>
  <c r="C86" i="9"/>
  <c r="B57" i="9"/>
  <c r="B71" i="9"/>
  <c r="B72" i="9"/>
  <c r="B71" i="8"/>
  <c r="B70" i="8"/>
  <c r="B56" i="8"/>
  <c r="B97" i="8"/>
  <c r="C85" i="8"/>
  <c r="B91" i="8"/>
  <c r="C91" i="8" s="1"/>
  <c r="B72" i="7"/>
  <c r="B71" i="7"/>
  <c r="B57" i="7"/>
  <c r="B92" i="7"/>
  <c r="C92" i="7" s="1"/>
  <c r="C86" i="7"/>
  <c r="B92" i="6"/>
  <c r="C92" i="6" s="1"/>
  <c r="B93" i="6"/>
  <c r="C93" i="6" s="1"/>
  <c r="B90" i="6"/>
  <c r="C90" i="6" s="1"/>
  <c r="B91" i="6"/>
  <c r="C91" i="6" s="1"/>
  <c r="B45" i="6"/>
  <c r="B74" i="6" s="1"/>
  <c r="B59" i="6"/>
  <c r="B88" i="6"/>
  <c r="B100" i="6" s="1"/>
  <c r="C88" i="5"/>
  <c r="B94" i="5"/>
  <c r="C94" i="5" s="1"/>
  <c r="B74" i="5"/>
  <c r="B59" i="5"/>
  <c r="B73" i="5"/>
  <c r="B97" i="4"/>
  <c r="C97" i="4" s="1"/>
  <c r="C91" i="4"/>
  <c r="B103" i="4"/>
  <c r="B76" i="4"/>
  <c r="B63" i="4"/>
  <c r="B77" i="4"/>
  <c r="B73" i="6"/>
  <c r="B60" i="6"/>
  <c r="B94" i="6" l="1"/>
  <c r="C94" i="6" s="1"/>
  <c r="C8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7" authorId="0" shapeId="0" xr:uid="{00000000-0006-0000-0100-000001000000}">
      <text>
        <r>
          <rPr>
            <sz val="10"/>
            <rFont val="Arial"/>
            <family val="2"/>
          </rPr>
          <t>Source: NSE/BSE sector comps, Apr 2026. Update to current consensus before use. Bloomberg/FactSet for live benchmarks.</t>
        </r>
      </text>
    </comment>
    <comment ref="B37" authorId="0" shapeId="0" xr:uid="{00000000-0006-0000-0100-000002000000}">
      <text>
        <r>
          <rPr>
            <sz val="10"/>
            <rFont val="Arial"/>
            <family val="2"/>
          </rPr>
          <t>Source: NSE/BSE sector comps, Apr 2026. Update to current consensus before use. Bloomberg/FactSet for live benchmarks.</t>
        </r>
      </text>
    </comment>
    <comment ref="B42" authorId="0" shapeId="0" xr:uid="{00000000-0006-0000-0100-000003000000}">
      <text>
        <r>
          <rPr>
            <sz val="10"/>
            <rFont val="Arial"/>
            <family val="2"/>
          </rPr>
          <t>⚠️ DDM is highly sensitive to (COE − g_div) spread. A 1pp change doubles/halves output. For low-dividend banks, DDM is illustrative only — P/B is the primary method. Consider excluding DDM from the average if dividend yield &lt; 2%.</t>
        </r>
      </text>
    </comment>
    <comment ref="B50" authorId="0" shapeId="0" xr:uid="{00000000-0006-0000-0100-000004000000}">
      <text>
        <r>
          <rPr>
            <sz val="10"/>
            <rFont val="Arial"/>
            <family val="2"/>
          </rPr>
          <t>⚠️ DDM outlier: at 1% dividend yield, DDM output (₹380) is far below P/B and P/E models. Use P/B as primary valuation for banks.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6" authorId="0" shapeId="0" xr:uid="{00000000-0006-0000-0200-000001000000}">
      <text>
        <r>
          <rPr>
            <sz val="10"/>
            <rFont val="Arial"/>
            <family val="2"/>
          </rPr>
          <t>⚠️ Default 13% reflects FY21-FY23 peak growth. Current (FY25) guidance for TCS/Infosys is 6-9% CC growth. Update to current cycle assumptions before use.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1" authorId="0" shapeId="0" xr:uid="{00000000-0006-0000-0300-000001000000}">
      <text>
        <r>
          <rPr>
            <sz val="10"/>
            <rFont val="Arial"/>
            <family val="2"/>
          </rPr>
          <t>Source: NSE/BSE sector comps, Apr 2026. Update to current consensus before use. Bloomberg/FactSet for live benchmarks.</t>
        </r>
      </text>
    </comment>
    <comment ref="B22" authorId="0" shapeId="0" xr:uid="{00000000-0006-0000-0300-000002000000}">
      <text>
        <r>
          <rPr>
            <sz val="10"/>
            <rFont val="Arial"/>
            <family val="2"/>
          </rPr>
          <t>Source: NSE/BSE sector comps, Apr 2026. Update to current consensus before use. Bloomberg/FactSet for live benchmarks.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1" authorId="0" shapeId="0" xr:uid="{00000000-0006-0000-0400-000001000000}">
      <text>
        <r>
          <rPr>
            <sz val="10"/>
            <rFont val="Arial"/>
            <family val="2"/>
          </rPr>
          <t>Source: NSE/BSE sector comps, Apr 2026. Update to current consensus before use. Bloomberg/FactSet for live benchmarks.</t>
        </r>
      </text>
    </comment>
    <comment ref="B22" authorId="0" shapeId="0" xr:uid="{00000000-0006-0000-0400-000002000000}">
      <text>
        <r>
          <rPr>
            <sz val="10"/>
            <rFont val="Arial"/>
            <family val="2"/>
          </rPr>
          <t>Source: NSE/BSE sector comps, Apr 2026. Update to current consensus before use. Bloomberg/FactSet for live benchmarks.</t>
        </r>
      </text>
    </comment>
    <comment ref="B23" authorId="0" shapeId="0" xr:uid="{00000000-0006-0000-0400-000003000000}">
      <text>
        <r>
          <rPr>
            <sz val="10"/>
            <rFont val="Arial"/>
            <family val="2"/>
          </rPr>
          <t>Source: NSE/BSE sector comps, Apr 2026. Update to current consensus before use. Bloomberg/FactSet for live benchmarks.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9" authorId="0" shapeId="0" xr:uid="{00000000-0006-0000-0500-000001000000}">
      <text>
        <r>
          <rPr>
            <sz val="10"/>
            <rFont val="Arial"/>
            <family val="2"/>
          </rPr>
          <t>⚠️ 55× P/E is at the top of historical FMCG range (HUL/Nestle peak multiples). Consensus mean is ~45–48×. Update to current sector comps. Source: NSE sector data.</t>
        </r>
      </text>
    </comment>
    <comment ref="B20" authorId="0" shapeId="0" xr:uid="{00000000-0006-0000-0500-000002000000}">
      <text>
        <r>
          <rPr>
            <sz val="10"/>
            <rFont val="Arial"/>
            <family val="2"/>
          </rPr>
          <t>⚠️ 40× EV/EBITDA is a peak-cycle multiple for Indian FMCG. Normalised range: 32–38×. Update to current benchmarks. Source: NSE sector data.</t>
        </r>
      </text>
    </comment>
    <comment ref="B140" authorId="0" shapeId="0" xr:uid="{00000000-0006-0000-0500-000003000000}">
      <text>
        <r>
          <rPr>
            <sz val="10"/>
            <rFont val="Arial"/>
            <family val="2"/>
          </rPr>
          <t>ℹ️ Base-year EBITDA margin = EBITDA(LTM)/Revenue(LTM) = 14000/60000 = 23.33%. Differs slightly from the 23.0% input assumption above. Year 1 onward uses the 23.0% input consistently.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9" authorId="0" shapeId="0" xr:uid="{00000000-0006-0000-0600-000001000000}">
      <text>
        <r>
          <rPr>
            <sz val="10"/>
            <rFont val="Arial"/>
            <family val="2"/>
          </rPr>
          <t>⚠️ 8× EV/EBITDA is appropriate for pure-play E&amp;P (ONGC, BPCL). For Reliance Industries, use a blended segment multiple (12–14×) to account for Retail and Jio digital segments. Pure E&amp;P multiples structurally undervalue Reliance.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700-000001000000}">
      <text>
        <r>
          <rPr>
            <sz val="10"/>
            <rFont val="Arial"/>
            <family val="2"/>
          </rPr>
          <t>ℹ️ NAV Per Share: Enter only for Real Estate developers. For EPC/infra companies, leave blank( just blank, don't input 0)</t>
        </r>
      </text>
    </comment>
    <comment ref="B21" authorId="0" shapeId="0" xr:uid="{00000000-0006-0000-0700-000002000000}">
      <text>
        <r>
          <rPr>
            <sz val="10"/>
            <rFont val="Arial"/>
            <family val="2"/>
          </rPr>
          <t>⚠️ NAV-based model applies to Real Estate developers (DLF, Godrej Properties) NOT EPC companies (L&amp;T). If analysing an EPC company, exclude this model from the average or set NAV = N/A. Including NAV for L&amp;T will significantly distort the average implied price.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9" authorId="0" shapeId="0" xr:uid="{00000000-0006-0000-0800-000001000000}">
      <text>
        <r>
          <rPr>
            <sz val="10"/>
            <rFont val="Arial"/>
            <family val="2"/>
          </rPr>
          <t>Source: NSE/BSE sector comps, Apr 2026. Update to current consensus before use. Bloomberg/FactSet for live benchmarks.</t>
        </r>
      </text>
    </comment>
    <comment ref="B20" authorId="0" shapeId="0" xr:uid="{00000000-0006-0000-0800-000002000000}">
      <text>
        <r>
          <rPr>
            <sz val="10"/>
            <rFont val="Arial"/>
            <family val="2"/>
          </rPr>
          <t>Source: NSE/BSE sector comps, Apr 2026. Update to current consensus before use. Bloomberg/FactSet for live benchmarks.</t>
        </r>
      </text>
    </comment>
    <comment ref="B21" authorId="0" shapeId="0" xr:uid="{00000000-0006-0000-0800-000003000000}">
      <text>
        <r>
          <rPr>
            <sz val="10"/>
            <rFont val="Arial"/>
            <family val="2"/>
          </rPr>
          <t>Source: NSE/BSE sector comps, Apr 2026. Update to current consensus before use. Bloomberg/FactSet for live benchmarks.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0" authorId="0" shapeId="0" xr:uid="{00000000-0006-0000-0900-000001000000}">
      <text>
        <r>
          <rPr>
            <sz val="10"/>
            <rFont val="Arial"/>
            <family val="2"/>
          </rPr>
          <t>Source: NSE/BSE sector comps, Apr 2026. Update to current consensus before use. Bloomberg/FactSet for live benchmarks.</t>
        </r>
      </text>
    </comment>
    <comment ref="B21" authorId="0" shapeId="0" xr:uid="{00000000-0006-0000-0900-000002000000}">
      <text>
        <r>
          <rPr>
            <sz val="10"/>
            <rFont val="Arial"/>
            <family val="2"/>
          </rPr>
          <t>Source: NSE/BSE sector comps, Apr 2026. Update to current consensus before use. Bloomberg/FactSet for live benchmarks.</t>
        </r>
      </text>
    </comment>
    <comment ref="B22" authorId="0" shapeId="0" xr:uid="{00000000-0006-0000-0900-000003000000}">
      <text>
        <r>
          <rPr>
            <sz val="10"/>
            <rFont val="Arial"/>
            <family val="2"/>
          </rPr>
          <t>Source: NSE/BSE sector comps, Apr 2026. Update to current consensus before use. Bloomberg/FactSet for live benchmarks.</t>
        </r>
      </text>
    </comment>
  </commentList>
</comments>
</file>

<file path=xl/sharedStrings.xml><?xml version="1.0" encoding="utf-8"?>
<sst xmlns="http://schemas.openxmlformats.org/spreadsheetml/2006/main" count="1910" uniqueCount="358">
  <si>
    <t>🇮🇳   INDIAN STOCK MARKET — SECTOR VALUATION TOOLKIT</t>
  </si>
  <si>
    <t>SECTOR</t>
  </si>
  <si>
    <t>VALUATION MODELS INCLUDED</t>
  </si>
  <si>
    <t>🏦</t>
  </si>
  <si>
    <t>Banking &amp; NBFC</t>
  </si>
  <si>
    <t>P/B Valuation | Justified P/B (Gordon Growth) | P/E | Dividend Discount Model (DDM)</t>
  </si>
  <si>
    <t>💻</t>
  </si>
  <si>
    <t>IT &amp; Technology</t>
  </si>
  <si>
    <t>5-Year DCF | P/E | EV/EBITDA</t>
  </si>
  <si>
    <t>💊</t>
  </si>
  <si>
    <t>Pharmaceuticals</t>
  </si>
  <si>
    <t>EV/EBITDA | 5-Year DCF | P/E</t>
  </si>
  <si>
    <t>🚗</t>
  </si>
  <si>
    <t>Automobiles</t>
  </si>
  <si>
    <t>EV/EBITDA | EV/Sales | P/E</t>
  </si>
  <si>
    <t>🛍️</t>
  </si>
  <si>
    <t>FMCG &amp; Consumer</t>
  </si>
  <si>
    <t>P/E | EV/EBITDA | 5-Year DCF</t>
  </si>
  <si>
    <t>⛽</t>
  </si>
  <si>
    <t>Energy &amp; Oil</t>
  </si>
  <si>
    <t>🏗️</t>
  </si>
  <si>
    <t>Infrastructure</t>
  </si>
  <si>
    <t>EV/EBITDA | P/B | NAV-Based</t>
  </si>
  <si>
    <t>🔩</t>
  </si>
  <si>
    <t>Metals &amp; Mining</t>
  </si>
  <si>
    <t>EV/EBITDA | P/B | EV/Sales</t>
  </si>
  <si>
    <t>📱</t>
  </si>
  <si>
    <t>Telecom</t>
  </si>
  <si>
    <t>EV/EBITDA | EV/Subscriber | P/E</t>
  </si>
  <si>
    <t>COLOUR CODING LEGEND</t>
  </si>
  <si>
    <t xml:space="preserve">   </t>
  </si>
  <si>
    <t>Light Blue            →  Formula cells (auto-calculated, do not edit)</t>
  </si>
  <si>
    <t>Green                 →  Output / summary cells</t>
  </si>
  <si>
    <t>Orange / Salmon       →  Sector-specific valuation models</t>
  </si>
  <si>
    <t>🏦  BANKING &amp; NBFC — STOCK VALUATION MODEL</t>
  </si>
  <si>
    <t xml:space="preserve">  COMPANY &amp; MARKET DATA</t>
  </si>
  <si>
    <t>Company Name</t>
  </si>
  <si>
    <t>e.g. HDFC Bank</t>
  </si>
  <si>
    <t>Current Market Price (CMP)</t>
  </si>
  <si>
    <t>Rs. / share</t>
  </si>
  <si>
    <t>Shares Outstanding</t>
  </si>
  <si>
    <t>Crores</t>
  </si>
  <si>
    <t>Book Value Per Share (BVPS)</t>
  </si>
  <si>
    <t>Earnings Per Share (EPS - TTM)</t>
  </si>
  <si>
    <t>Dividend Per Share (DPS)</t>
  </si>
  <si>
    <t xml:space="preserve">  OPERATING METRICS</t>
  </si>
  <si>
    <t>Return on Equity (ROE)</t>
  </si>
  <si>
    <t>%</t>
  </si>
  <si>
    <t>Return on Assets (ROA)</t>
  </si>
  <si>
    <t>Net Interest Margin (NIM)</t>
  </si>
  <si>
    <t>Gross NPA Ratio</t>
  </si>
  <si>
    <t>Net NPA Ratio</t>
  </si>
  <si>
    <t>CASA Ratio</t>
  </si>
  <si>
    <t>Capital Adequacy Ratio (CAR)</t>
  </si>
  <si>
    <t xml:space="preserve">  VALUATION ASSUMPTIONS</t>
  </si>
  <si>
    <t>Cost of Equity / Required Return (COE)</t>
  </si>
  <si>
    <t>Long-term Growth Rate (g)</t>
  </si>
  <si>
    <t>Long-term Dividend Growth Rate (g_div)</t>
  </si>
  <si>
    <t xml:space="preserve">  MODEL 1: PRICE-TO-BOOK (P/B) VALUATION</t>
  </si>
  <si>
    <t>Target / Sector Benchmark P/B Multiple</t>
  </si>
  <si>
    <t>x</t>
  </si>
  <si>
    <t xml:space="preserve">  → Implied Share Price  (P/B × BVPS)</t>
  </si>
  <si>
    <t xml:space="preserve">  → Upside / (Downside) vs CMP</t>
  </si>
  <si>
    <t xml:space="preserve">  MODEL 2: JUSTIFIED P/B — GORDON GROWTH MODEL</t>
  </si>
  <si>
    <t xml:space="preserve">  → Justified P/B  = (ROE − g) / (COE − g)</t>
  </si>
  <si>
    <t xml:space="preserve">  → Implied Share Price  (Justified P/B × BVPS)</t>
  </si>
  <si>
    <t xml:space="preserve">  MODEL 3: PRICE-TO-EARNINGS (P/E) VALUATION</t>
  </si>
  <si>
    <t>Target / Sector Benchmark P/E Multiple</t>
  </si>
  <si>
    <t xml:space="preserve">  → Implied Share Price  (P/E × EPS)</t>
  </si>
  <si>
    <t xml:space="preserve">  MODEL 4: DIVIDEND DISCOUNT MODEL (DDM — GORDON GROWTH)</t>
  </si>
  <si>
    <t xml:space="preserve">  → DDM Intrinsic Value  = DPS / (COE − g_div)</t>
  </si>
  <si>
    <t xml:space="preserve">  VALUATION SUMMARY</t>
  </si>
  <si>
    <t>P/B Model Implied Price</t>
  </si>
  <si>
    <t>Justified P/B Implied Price</t>
  </si>
  <si>
    <t>P/E Model Implied Price</t>
  </si>
  <si>
    <t>DDM Intrinsic Value</t>
  </si>
  <si>
    <t>Average Implied Price (all models)</t>
  </si>
  <si>
    <t>Implied Upside / (Downside)</t>
  </si>
  <si>
    <t xml:space="preserve">  KEY METRICS AT CURRENT PRICE</t>
  </si>
  <si>
    <t>Market Capitalisation</t>
  </si>
  <si>
    <t>Rs. Crores</t>
  </si>
  <si>
    <t>P/B Ratio (Current)</t>
  </si>
  <si>
    <t>P/E Ratio (Current)</t>
  </si>
  <si>
    <t>Dividend Yield (Current)</t>
  </si>
  <si>
    <t>📊   INVESTMENT DECISION SIGNAL</t>
  </si>
  <si>
    <t xml:space="preserve">  Thresholds:   🟢 STRONG BUY  &gt;+20%   |   ✅ BUY  +10 to +20%   |   🟡 HOLD  ±10%   |   🔶 SELL  -10 to -20%   |   🔴 STRONG SELL  &lt; -20%       (based on Average Implied Price vs CMP across all models)</t>
  </si>
  <si>
    <t xml:space="preserve">  A.  SUMMARY METRICS</t>
  </si>
  <si>
    <t>Implied Upside / (Downside) vs CMP</t>
  </si>
  <si>
    <t xml:space="preserve">  B.  PER-MODEL SIGNALS</t>
  </si>
  <si>
    <t xml:space="preserve">  Model 1 — Price-to-Book (P/B)</t>
  </si>
  <si>
    <t xml:space="preserve">  Model 2 — Justified P/B (Gordon Growth)</t>
  </si>
  <si>
    <t xml:space="preserve">  Model 3 — Price-to-Earnings (P/E)</t>
  </si>
  <si>
    <t xml:space="preserve">  Model 4 — Dividend Discount Model (DDM)</t>
  </si>
  <si>
    <t xml:space="preserve">  C.  CONVICTION METER</t>
  </si>
  <si>
    <t xml:space="preserve">  Models signalling BUY  (incl. Strong Buy)</t>
  </si>
  <si>
    <t>of 4 models</t>
  </si>
  <si>
    <t xml:space="preserve">  Models signalling HOLD</t>
  </si>
  <si>
    <t xml:space="preserve">  Models signalling SELL  (incl. Strong Sell)</t>
  </si>
  <si>
    <t xml:space="preserve">  D.  OVERALL VERDICT  (based on Average Implied Price)</t>
  </si>
  <si>
    <t xml:space="preserve">  VERDICT</t>
  </si>
  <si>
    <t xml:space="preserve">  Avg. Implied Upside / (Downside)</t>
  </si>
  <si>
    <t>vs CMP</t>
  </si>
  <si>
    <t>⚠️  DISCLAIMER: This model is for educational &amp; research purposes only. Investment decisions should be based on thorough due diligence. Valuation multiples used are indicative — adjust to sector benchmarks and macroeconomic conditions. Past performance does not guarantee future results.</t>
  </si>
  <si>
    <t>🎯   BUYING LEVELS &amp; ENTRY POINT ANALYSIS</t>
  </si>
  <si>
    <t xml:space="preserve">  Entry zones are derived from the Average Implied (Fair) Value using your Margin of Safety input below.  Adjust the yellow cells to customise zones to your risk appetite and sector view.</t>
  </si>
  <si>
    <t xml:space="preserve">  ENTRY ASSUMPTIONS  (Adjust to your risk appetite)</t>
  </si>
  <si>
    <t>Margin of Safety  (MoS)  — discount to Fair Value for BUY entry</t>
  </si>
  <si>
    <t>Default: 15%  (sector-calibrated)</t>
  </si>
  <si>
    <t>Stop Loss  — % below the Strong Buy Entry price to cut losses</t>
  </si>
  <si>
    <t>Default: 10%  below Strong Buy Entry</t>
  </si>
  <si>
    <t xml:space="preserve">  ENTRY PRICE LADDER</t>
  </si>
  <si>
    <t xml:space="preserve">  ZONE  (Colour-coded)</t>
  </si>
  <si>
    <t>ENTRY PRICE  (Rs.)</t>
  </si>
  <si>
    <t>STATUS vs CURRENT PRICE</t>
  </si>
  <si>
    <t xml:space="preserve">  🔴  STRONG BUY  ZONE  (MoS × 1.5)</t>
  </si>
  <si>
    <t xml:space="preserve">  🟢  BUY  ZONE  (MoS × 1.0)</t>
  </si>
  <si>
    <t xml:space="preserve">  🟡  ACCUMULATE  ZONE  (MoS × 0.5)</t>
  </si>
  <si>
    <t xml:space="preserve">  ⚪  FAIR VALUE  /  TARGET PRICE</t>
  </si>
  <si>
    <t xml:space="preserve">  🔵  BOOK PARTIAL PROFITS  (+15%)</t>
  </si>
  <si>
    <t xml:space="preserve">  ⚫  FULL EXIT / OVERVALUED  (+25%)</t>
  </si>
  <si>
    <t xml:space="preserve">  ✂️  STOP LOSS  (below Strong Buy Entry)</t>
  </si>
  <si>
    <t xml:space="preserve">  WHERE IS THE CURRENT PRICE NOW?</t>
  </si>
  <si>
    <t xml:space="preserve">  Current Market Price (CMP)</t>
  </si>
  <si>
    <t xml:space="preserve">  CMP Falls In Zone:</t>
  </si>
  <si>
    <t xml:space="preserve">  POSITION SIZING GUIDE  (% of total portfolio)</t>
  </si>
  <si>
    <t xml:space="preserve">  🔴  Strong Buy Zone</t>
  </si>
  <si>
    <t>Full Position  (e.g. 5–8% of portfolio)</t>
  </si>
  <si>
    <t xml:space="preserve">  🟢  Buy Zone</t>
  </si>
  <si>
    <t>Core Position  (e.g. 3–5% of portfolio)</t>
  </si>
  <si>
    <t xml:space="preserve">  🟡  Accumulate Zone</t>
  </si>
  <si>
    <t>Starter / Add  (e.g. 1–3% of portfolio)</t>
  </si>
  <si>
    <t xml:space="preserve">  ⚪  At Fair Value</t>
  </si>
  <si>
    <t>Hold / Trim at margin (no new buying)</t>
  </si>
  <si>
    <t xml:space="preserve">  🔵  Above Fair Value</t>
  </si>
  <si>
    <t>Trim 30–50% of position</t>
  </si>
  <si>
    <t xml:space="preserve">  ⚫  Full Exit Zone</t>
  </si>
  <si>
    <t>Exit most/all of position</t>
  </si>
  <si>
    <t xml:space="preserve">  ✂️  Below Stop Loss</t>
  </si>
  <si>
    <t>Cut losses — exit immediately</t>
  </si>
  <si>
    <t>📌  NOTE: Entry levels are automatically calculated from the Average Implied (Fair) Value. Adjust the Margin of Safety % above to suit your risk tolerance — a higher MoS widens the gap between CMP and your entry price, providing a larger buffer against valuation errors. Position sizing is indicative only; diversify across sectors and consult a SEBI-registered advisor.</t>
  </si>
  <si>
    <t>💻  IT &amp; TECHNOLOGY — STOCK VALUATION MODEL</t>
  </si>
  <si>
    <t>Suitable for: TCS, Infosys, Wipro, HCL Tech, LTIMindtree, Mphasis etc. Models: 5-yr DCF (primary) | P/E | EV/EBITDA</t>
  </si>
  <si>
    <t>e.g. TCS</t>
  </si>
  <si>
    <t>EPS (TTM)</t>
  </si>
  <si>
    <t>EBITDA (LTM)</t>
  </si>
  <si>
    <t>Revenue (LTM)</t>
  </si>
  <si>
    <t>Total Debt</t>
  </si>
  <si>
    <t>Cash &amp; Equivalents</t>
  </si>
  <si>
    <t>WACC (Discount Rate)</t>
  </si>
  <si>
    <t>Revenue Growth Rate — Year 1-3 (High Growth)</t>
  </si>
  <si>
    <t>Revenue Growth Rate — Year 4-5 (Fade)</t>
  </si>
  <si>
    <t>Terminal Growth Rate (g)</t>
  </si>
  <si>
    <t>EBITDA Margin (stable)</t>
  </si>
  <si>
    <t>Effective Tax Rate</t>
  </si>
  <si>
    <t>D&amp;A as % of Revenue</t>
  </si>
  <si>
    <t>CapEx as % of Revenue</t>
  </si>
  <si>
    <t>Working Capital Change as % of Revenue</t>
  </si>
  <si>
    <t xml:space="preserve">  MODEL 1: 5-YEAR DISCOUNTED CASH FLOW (DCF)</t>
  </si>
  <si>
    <t>Base (LTM)</t>
  </si>
  <si>
    <t>Year 1</t>
  </si>
  <si>
    <t>Year 2</t>
  </si>
  <si>
    <t>Year 3</t>
  </si>
  <si>
    <t>Year 4</t>
  </si>
  <si>
    <t>Year 5</t>
  </si>
  <si>
    <t>Terminal</t>
  </si>
  <si>
    <t>Revenue (Rs. Cr)</t>
  </si>
  <si>
    <t>EBITDA (Rs. Cr)</t>
  </si>
  <si>
    <t>NOPAT = EBIT × (1 − Tax Rate)</t>
  </si>
  <si>
    <t>Free Cash Flow (NOPAT + D&amp;A − CapEx − ΔWC)</t>
  </si>
  <si>
    <t>Terminal Value  = FCF₅ × (1+g) / (WACC − g)</t>
  </si>
  <si>
    <t>Discount Factor  = 1 / (1 + WACC)^n</t>
  </si>
  <si>
    <t>PV of FCF / Terminal Value</t>
  </si>
  <si>
    <t>Enterprise Value (Sum of PV FCFs + PV Terminal Value)</t>
  </si>
  <si>
    <t xml:space="preserve">  Equity Value  (EV − Debt + Cash)</t>
  </si>
  <si>
    <t xml:space="preserve">  → DCF Implied Share Price</t>
  </si>
  <si>
    <t xml:space="preserve">  MODEL 2: PRICE-TO-EARNINGS (P/E) VALUATION</t>
  </si>
  <si>
    <t>Target P/E Multiple</t>
  </si>
  <si>
    <t xml:space="preserve">  MODEL 3: EV/EBITDA VALUATION</t>
  </si>
  <si>
    <t>Target EV/EBITDA Multiple</t>
  </si>
  <si>
    <t xml:space="preserve">  Implied Enterprise Value  (Multiple × EBITDA)</t>
  </si>
  <si>
    <t xml:space="preserve">  → Implied Share Price  ((EV − Debt + Cash) / Shares)</t>
  </si>
  <si>
    <t>DCF Implied Price</t>
  </si>
  <si>
    <t>P/E Implied Price</t>
  </si>
  <si>
    <t>EV/EBITDA Implied Price</t>
  </si>
  <si>
    <t>EV/EBITDA (Current)</t>
  </si>
  <si>
    <t>EV/Sales (Current)</t>
  </si>
  <si>
    <t>EBITDA Margin (Input)</t>
  </si>
  <si>
    <t xml:space="preserve">  Model 1 — DCF (5-Year)</t>
  </si>
  <si>
    <t xml:space="preserve">  Model 2 — Price-to-Earnings (P/E)</t>
  </si>
  <si>
    <t xml:space="preserve">  Model 3 — EV/EBITDA</t>
  </si>
  <si>
    <t>of 3 models</t>
  </si>
  <si>
    <t>Default: 20%  (sector-calibrated)</t>
  </si>
  <si>
    <t>Default: 12%  below Strong Buy Entry</t>
  </si>
  <si>
    <t>DISC./PREM. TO FAIR VALUE</t>
  </si>
  <si>
    <t>STATUS vs CMP</t>
  </si>
  <si>
    <t>UPSIDE/DOWNSIDE FROM CMP</t>
  </si>
  <si>
    <t>0%</t>
  </si>
  <si>
    <t>💊  PHARMACEUTICALS — STOCK VALUATION MODEL</t>
  </si>
  <si>
    <t>Suitable for: Sun Pharma, Dr. Reddy's, Cipla, Divi's, Lupin, Aurobindo. Primary models: EV/EBITDA | P/E | DCF</t>
  </si>
  <si>
    <t>e.g. Sun Pharma</t>
  </si>
  <si>
    <t>EBITDA Margin</t>
  </si>
  <si>
    <t>R&amp;D Expense as % of Revenue</t>
  </si>
  <si>
    <t>Domestic Revenue Share</t>
  </si>
  <si>
    <t>US/Export Revenue Share</t>
  </si>
  <si>
    <t>EV/EBITDA Target Multiple</t>
  </si>
  <si>
    <t>WACC</t>
  </si>
  <si>
    <t>FCF Growth Rate (5-yr avg)</t>
  </si>
  <si>
    <t>FCF Margin (% of Revenue)</t>
  </si>
  <si>
    <t xml:space="preserve">  MODEL 1: EV/EBITDA VALUATION</t>
  </si>
  <si>
    <t xml:space="preserve">  → Implied Share Price  ((EV/EBITDA × EBITDA − Debt + Cash) / Shares)</t>
  </si>
  <si>
    <t xml:space="preserve">  MODEL 3: DISCOUNTED CASH FLOW (DCF — SIMPLIFIED)</t>
  </si>
  <si>
    <t xml:space="preserve">  Implied EV via DCF  (Simplified Gordon-Growth FCF)</t>
  </si>
  <si>
    <t xml:space="preserve">  → DCF Implied Share Price  ((EV − Debt + Cash) / Shares)</t>
  </si>
  <si>
    <t>Net Debt</t>
  </si>
  <si>
    <t>P/E (Current)</t>
  </si>
  <si>
    <t>R&amp;D Spend (% of Revenue)</t>
  </si>
  <si>
    <t xml:space="preserve">  Model 1 — EV/EBITDA</t>
  </si>
  <si>
    <t xml:space="preserve">  Model 3 — DCF (Full 5-Year — see model below)</t>
  </si>
  <si>
    <t>📈   PHARMACEUTICALS  —  5-YEAR DCF CASH FLOW MODEL</t>
  </si>
  <si>
    <t xml:space="preserve">  Full DCF build: Revenue projections → EBITDA → D&amp;A → EBIT → Tax → NOPAT → FCF → Terminal Value → PV → Enterprise Value → Equity Value → Implied Price Per Share.  Yellow = editable inputs  |  Green-text = linked from main tab  |  Orange = terminal value columns</t>
  </si>
  <si>
    <t xml:space="preserve">  ① DCF ASSUMPTIONS  (Adjust all yellow cells for your scenario)</t>
  </si>
  <si>
    <t>WACC — Weighted Average Cost of Capital</t>
  </si>
  <si>
    <t>Revenue Growth Rate — Years 1–3  (High Growth Phase)</t>
  </si>
  <si>
    <t>Revenue Growth Rate — Years 4–5  (Fade / Normalised Phase)</t>
  </si>
  <si>
    <t>Terminal Growth Rate  (long-run sustainable growth)</t>
  </si>
  <si>
    <t>EBITDA Margin  (stable — EBITDA Margin — linked from Operating Metrics above)</t>
  </si>
  <si>
    <t>Capital Expenditure (CapEx) as % of Revenue</t>
  </si>
  <si>
    <t xml:space="preserve">  ② BASE FIGURES  (Linked from main tab — update there)</t>
  </si>
  <si>
    <t xml:space="preserve">  Revenue — Base (LTM)</t>
  </si>
  <si>
    <t xml:space="preserve">  EBITDA — Base (LTM)</t>
  </si>
  <si>
    <t xml:space="preserve">  Total Debt</t>
  </si>
  <si>
    <t xml:space="preserve">  Cash &amp; Equivalents</t>
  </si>
  <si>
    <t xml:space="preserve">  Shares Outstanding</t>
  </si>
  <si>
    <t xml:space="preserve">  ③ 5-YEAR CASH FLOW PROJECTION TABLE</t>
  </si>
  <si>
    <t>LINE ITEM</t>
  </si>
  <si>
    <t xml:space="preserve">  Revenue  (Rs. Crores)</t>
  </si>
  <si>
    <t xml:space="preserve">  EBITDA  (Rs. Crores)</t>
  </si>
  <si>
    <t xml:space="preserve">  EBITDA Margin  (%)</t>
  </si>
  <si>
    <t xml:space="preserve">  Depreciation &amp; Amortisation  (D&amp;A)</t>
  </si>
  <si>
    <t xml:space="preserve">  EBIT  (EBITDA − D&amp;A)</t>
  </si>
  <si>
    <t xml:space="preserve">  Taxes  (EBIT × Tax Rate)</t>
  </si>
  <si>
    <t xml:space="preserve">  NOPAT  (EBIT − Taxes)</t>
  </si>
  <si>
    <t xml:space="preserve">  Capital Expenditure  (− CapEx)</t>
  </si>
  <si>
    <t xml:space="preserve">  Change in Working Capital  (− ΔWC)</t>
  </si>
  <si>
    <t xml:space="preserve">  Add Back: D&amp;A  (+ D&amp;A)</t>
  </si>
  <si>
    <t xml:space="preserve">  FREE CASH FLOW  (NOPAT + D&amp;A − CapEx − ΔWC)</t>
  </si>
  <si>
    <t xml:space="preserve">  Terminal Value  =  FCF₅ × (1+g) / (WACC − g)</t>
  </si>
  <si>
    <t xml:space="preserve">  Discount Factor  =  1 / (1+WACC)^n</t>
  </si>
  <si>
    <t>—</t>
  </si>
  <si>
    <t xml:space="preserve">  PV of FCF  (Yrs 1–5)  +  PV of Terminal Value</t>
  </si>
  <si>
    <t xml:space="preserve">  Enterprise Value  (Sum of all PV FCFs + PV Terminal Value)</t>
  </si>
  <si>
    <t xml:space="preserve">  Equity Value  (EV − Net Debt)  =  EV − Debt + Cash</t>
  </si>
  <si>
    <t xml:space="preserve">  ➤  DCF Implied Share Price  (Equity Value ÷ Shares Outstanding)</t>
  </si>
  <si>
    <t xml:space="preserve">  Upside / (Downside) vs Current Market Price (CMP)</t>
  </si>
  <si>
    <t xml:space="preserve">  ④ SENSITIVITY GUIDE</t>
  </si>
  <si>
    <t xml:space="preserve">  ▸  WACC (±1%)</t>
  </si>
  <si>
    <t xml:space="preserve">  A 1pp rise in WACC reduces implied price (discount rate effect). Key driver — be conservative for high-debt companies.</t>
  </si>
  <si>
    <t xml:space="preserve">  ▸  Growth Yr 1–3 (±2%)</t>
  </si>
  <si>
    <t xml:space="preserve">  The most impactful lever. A 2pp change in early growth materially shifts the implied price.</t>
  </si>
  <si>
    <t xml:space="preserve">  ▸  Terminal Growth (±0.5%)</t>
  </si>
  <si>
    <t xml:space="preserve">  Small changes in long-term growth amplify through the terminal value, which drives 60–75% of total EV in growth companies.</t>
  </si>
  <si>
    <t xml:space="preserve">  ▸  EBITDA Margin (±1%)</t>
  </si>
  <si>
    <t xml:space="preserve">  Directly drives NOPAT and FCF in every year. Cross-check against sector peers and management guidance.</t>
  </si>
  <si>
    <t xml:space="preserve">  ▸  CapEx %  (±1%)</t>
  </si>
  <si>
    <t xml:space="preserve">  Higher CapEx reduces FCF. Critical for asset-heavy sectors — infrastructure, metals, telecom, energy.</t>
  </si>
  <si>
    <t xml:space="preserve">  ▸  Sector Note</t>
  </si>
  <si>
    <t xml:space="preserve">  Pharma CapEx is higher during CAPEX expansion cycles. R&amp;D is expensed. FCF can be lumpy around drug launches and API facility builds.</t>
  </si>
  <si>
    <t>⚠️  DCF DISCLAIMER: Highly sensitive to growth, margin, and WACC assumptions. Always triangulate with market multiples (P/E, EV/EBITDA). For educational/research use only. Consult a SEBI-registered investment advisor before making investment decisions.</t>
  </si>
  <si>
    <t>🚗  AUTOMOBILES — STOCK VALUATION MODEL</t>
  </si>
  <si>
    <t>Suitable for: Maruti Suzuki, M&amp;M, Tata Motors, Bajaj Auto, Hero MotoCorp, Eicher. Models: EV/EBITDA | EV/Sales | P/E</t>
  </si>
  <si>
    <t>e.g. Maruti Suzuki</t>
  </si>
  <si>
    <t>Volume Growth (Avg, 3-yr fwd)</t>
  </si>
  <si>
    <t>Avg Selling Price (ASP) Growth</t>
  </si>
  <si>
    <t>EV Content / Unit Economics (Optional)</t>
  </si>
  <si>
    <t>Rs. per vehicle</t>
  </si>
  <si>
    <t>Target EV/Sales Multiple</t>
  </si>
  <si>
    <t xml:space="preserve">  MODEL 2: EV/SALES VALUATION</t>
  </si>
  <si>
    <t xml:space="preserve">  → Implied Share Price  ((EV/Sales × Revenue − Debt + Cash) / Shares)</t>
  </si>
  <si>
    <t>EV/Sales Implied Price</t>
  </si>
  <si>
    <t>Enterprise Value (Current)</t>
  </si>
  <si>
    <t xml:space="preserve">  Model 2 — EV/Sales</t>
  </si>
  <si>
    <t>📈   AUTOMOBILES  —  5-YEAR DCF CASH FLOW MODEL</t>
  </si>
  <si>
    <t xml:space="preserve">  OEM margins are cyclical. Volume-driven revenue growth — use Volume Growth + ASP Growth as the combined top-line driver. EV transition may compress margins near-term.</t>
  </si>
  <si>
    <t>🛍️  FMCG &amp; CONSUMER — STOCK VALUATION MODEL</t>
  </si>
  <si>
    <t>Suitable for: HUL, ITC, Nestle India, Britannia, Dabur, Marico, Colgate. Models: P/E | EV/EBITDA | DCF</t>
  </si>
  <si>
    <t>e.g. HUL / Nestle India</t>
  </si>
  <si>
    <t>Revenue Growth Rate (5-yr avg)</t>
  </si>
  <si>
    <t>Terminal Growth Rate</t>
  </si>
  <si>
    <t xml:space="preserve">  MODEL 1: PRICE-TO-EARNINGS (P/E) VALUATION</t>
  </si>
  <si>
    <t xml:space="preserve">  MODEL 2: EV/EBITDA VALUATION</t>
  </si>
  <si>
    <t xml:space="preserve">  Implied EV via DCF  (FCF × Gordon Annuity + Terminal Value)</t>
  </si>
  <si>
    <t>Dividend Yield</t>
  </si>
  <si>
    <t xml:space="preserve">  Model 1 — Price-to-Earnings (P/E)</t>
  </si>
  <si>
    <t xml:space="preserve">  Model 2 — EV/EBITDA</t>
  </si>
  <si>
    <t>📈   FMCG &amp; CONSUMER  —  5-YEAR DCF CASH FLOW MODEL</t>
  </si>
  <si>
    <t xml:space="preserve">  FMCG companies are asset-light with high FCF conversion. CapEx is typically 1–3% of revenue. Terminal growth driven by volume and premiumisation.</t>
  </si>
  <si>
    <t>⛽  ENERGY &amp; OIL — STOCK VALUATION MODEL</t>
  </si>
  <si>
    <t>Suitable for: Reliance Industries, ONGC, IOC, BPCL, Coal India, GAIL, Power Grid, NTPC. Models: EV/EBITDA | EV/Sales | P/E</t>
  </si>
  <si>
    <t>e.g. Reliance / ONGC / BPCL</t>
  </si>
  <si>
    <t>Default: 25%  (sector-calibrated)</t>
  </si>
  <si>
    <t>Default: 15%  below Strong Buy Entry</t>
  </si>
  <si>
    <t>📈   ENERGY &amp; OIL  —  5-YEAR DCF CASH FLOW MODEL</t>
  </si>
  <si>
    <t xml:space="preserve">  DCF is highly sensitive to commodity price assumptions embedded in the revenue line. CapEx for E&amp;P companies can be 8–12% of revenue. Refining margins (GRM) drive EBITDA volatility.</t>
  </si>
  <si>
    <t>🏗️  INFRASTRUCTURE — STOCK VALUATION MODEL</t>
  </si>
  <si>
    <t>Suitable for: L&amp;T, DLF, Godrej Properties, Oberoi Realty, Prestige Estates, GMR. Models: EV/EBITDA | P/B | NAV-Based</t>
  </si>
  <si>
    <t>e.g. L&amp;T / DLF / Godrej Properties</t>
  </si>
  <si>
    <t>NAV Per Share (for RE companies)</t>
  </si>
  <si>
    <t>Target P/B Multiple</t>
  </si>
  <si>
    <t>NAV Premium / Discount %</t>
  </si>
  <si>
    <t xml:space="preserve">  MODEL 2: PRICE-TO-BOOK (P/B) VALUATION</t>
  </si>
  <si>
    <t xml:space="preserve">  MODEL 3: NAV-BASED VALUATION (REAL ESTATE)</t>
  </si>
  <si>
    <t xml:space="preserve">  → NAV-Based Target Price  (NAV/Share × (1 + Premium))</t>
  </si>
  <si>
    <t>P/B Implied Price</t>
  </si>
  <si>
    <t>NAV-Based Target</t>
  </si>
  <si>
    <t>P/NAV (Current)</t>
  </si>
  <si>
    <t xml:space="preserve">  Model 2 — Price-to-Book (P/B)</t>
  </si>
  <si>
    <t xml:space="preserve">  Model 3 — NAV-Based</t>
  </si>
  <si>
    <t>📈   INFRASTRUCTURE  —  5-YEAR DCF CASH FLOW MODEL</t>
  </si>
  <si>
    <t>EBITDA Margin  (stable — EBITDA/Revenue — computed from Operating Metrics above)</t>
  </si>
  <si>
    <t xml:space="preserve">  For EPC companies, revenue growth is order-book driven. Use the book-to-bill ratio as a lead indicator. For real estate, use NAV-based model as primary; DCF as a cross-check.</t>
  </si>
  <si>
    <t>🔩  METALS &amp; MINING — STOCK VALUATION MODEL</t>
  </si>
  <si>
    <t>Suitable for: Tata Steel, Hindalco, JSW Steel, Coal India, Vedanta, NMDC, SAIL. Models: EV/EBITDA | P/B | EV/Sales</t>
  </si>
  <si>
    <t>e.g. Tata Steel / Hindalco</t>
  </si>
  <si>
    <t xml:space="preserve">  MODEL 3: EV/SALES VALUATION</t>
  </si>
  <si>
    <t>P/B (Current)</t>
  </si>
  <si>
    <t xml:space="preserve">  Model 3 — EV/Sales</t>
  </si>
  <si>
    <t>Default: 30%  (sector-calibrated)</t>
  </si>
  <si>
    <t>📈   METALS &amp; MINING  —  5-YEAR DCF CASH FLOW MODEL</t>
  </si>
  <si>
    <t xml:space="preserve">  Commodity price cycles heavily influence EBITDA margins. Adjust growth rates for expected steel/aluminium/copper price trajectories. High leverage amplifies equity value sensitivity.</t>
  </si>
  <si>
    <t>📱  TELECOM — STOCK VALUATION MODEL</t>
  </si>
  <si>
    <t>Suitable for: Bharti Airtel, Reliance Jio (unlisted/holding), Vodafone Idea. Models: EV/EBITDA | EV/Subscriber | P/E</t>
  </si>
  <si>
    <t>e.g. Bharti Airtel / Jio / Vi</t>
  </si>
  <si>
    <t>Total Subscribers (mn)</t>
  </si>
  <si>
    <t>Million</t>
  </si>
  <si>
    <t>ARPU — Average Revenue Per User (Rs./month)</t>
  </si>
  <si>
    <t>Rs. / month</t>
  </si>
  <si>
    <t>Target EV / Subscriber (Rs. '000 per sub)</t>
  </si>
  <si>
    <t>Rs. '000 per sub</t>
  </si>
  <si>
    <t xml:space="preserve">  MODEL 2: EV/SUBSCRIBER VALUATION</t>
  </si>
  <si>
    <t xml:space="preserve">  Implied EV  (Target EV/Sub × Subscribers in mn × 100 Cr per mn × 1000)</t>
  </si>
  <si>
    <t>EV/Subscriber Implied Price</t>
  </si>
  <si>
    <t>EV/Sub (Current, Rs. '000)</t>
  </si>
  <si>
    <t>Rs. '000</t>
  </si>
  <si>
    <t>ARPU (Monthly)</t>
  </si>
  <si>
    <t xml:space="preserve">  Model 2 — EV/Subscriber</t>
  </si>
  <si>
    <t>📈   TELECOM  —  5-YEAR DCF CASH FLOW MODEL</t>
  </si>
  <si>
    <t xml:space="preserve">  Telecom has unusually high D&amp;A (network assets) and CapEx. D&amp;A and CapEx should reflect 5G rollout spend. ARPU growth is the key revenue lever — tie to subscriber and ARPU inputs on main tab.</t>
  </si>
  <si>
    <t>All inputs in Grey cells | Figures in Rs. Crores for totals, Rs. per share where noted | Valuation models auto-calculate on data entry</t>
  </si>
  <si>
    <t>Enter grey input cells. Suitable for Banks, NBFCs, HFCs, Insurance companies. Key models: P/B (most relevant), Justified P/B, P/E, and DDM.</t>
  </si>
  <si>
    <t xml:space="preserve">  Entry zones are derived from the Average Implied (Fair) Value using your Margin of Safety input below.  Adjust the grey cells to customise zones to your risk appetite and sector view.</t>
  </si>
  <si>
    <t>📌  NOTE: The Entry Price Ladder above is intended as a reference guide primarily for short-term and positional traders seeking structured, rules-based entry and exit zones. If you are a long-term investor, avoid anchoring purely to these price levels — instead, base your decisions on thorough fundamental analysis (earnings quality, ROE/ROCE, moat, debt levels) and technical analysis (long-term trend structure, key support zones, relative strength), as the true value of a strong business is best captured over full market cycles, not short-term price movements.</t>
  </si>
  <si>
    <t xml:space="preserve">  Full DCF build: Revenue projections → EBITDA → D&amp;A → EBIT → Tax → NOPAT → FCF → Terminal Value → PV → Enterprise Value → Equity Value → Implied Price Per Share.  Grey = editable inputs  |  Green-text = linked from main tab  |  Orange = terminal value columns</t>
  </si>
  <si>
    <t xml:space="preserve">  ① DCF ASSUMPTIONS  (Adjust all grey cells for your scenario)</t>
  </si>
  <si>
    <t>DCF Implied Share Price</t>
  </si>
  <si>
    <t xml:space="preserve">  Model 4 — DCF</t>
  </si>
  <si>
    <t xml:space="preserve">  Model 3 — DCF</t>
  </si>
  <si>
    <t>DCF</t>
  </si>
  <si>
    <t>Grey + Blue Text  →  Input cells (enter your values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</si>
</sst>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x"/>
    <numFmt numFmtId="167" formatCode="\₹#,##0.00"/>
    <numFmt numFmtId="168" formatCode="0.0000"/>
  </numFmts>
  <fonts count="33" x14ac:knownFonts="1">
    <font>
      <sz val="11"/>
      <color theme="1"/>
      <name val="Calibri"/>
      <family val="2"/>
      <charset val="1"/>
    </font>
    <font>
      <b/>
      <sz val="16"/>
      <color rgb="FFFFFFFF"/>
      <name val="Arial"/>
      <family val="2"/>
      <charset val="1"/>
    </font>
    <font>
      <i/>
      <sz val="9"/>
      <color rgb="FF595959"/>
      <name val="Arial"/>
      <family val="2"/>
      <charset val="1"/>
    </font>
    <font>
      <b/>
      <sz val="10"/>
      <color rgb="FFFFFFFF"/>
      <name val="Arial"/>
      <family val="2"/>
      <charset val="1"/>
    </font>
    <font>
      <sz val="12"/>
      <color rgb="FF000000"/>
      <name val="Arial"/>
      <family val="2"/>
      <charset val="1"/>
    </font>
    <font>
      <b/>
      <sz val="10"/>
      <color rgb="FF0563C1"/>
      <name val="Arial"/>
      <family val="2"/>
      <charset val="1"/>
    </font>
    <font>
      <sz val="9"/>
      <color rgb="FF595959"/>
      <name val="Arial"/>
      <family val="2"/>
      <charset val="1"/>
    </font>
    <font>
      <sz val="10"/>
      <color rgb="FF0000FF"/>
      <name val="Arial"/>
      <family val="2"/>
      <charset val="1"/>
    </font>
    <font>
      <sz val="10"/>
      <color rgb="FF000000"/>
      <name val="Arial"/>
      <family val="2"/>
      <charset val="1"/>
    </font>
    <font>
      <b/>
      <sz val="14"/>
      <color rgb="FFFFFFFF"/>
      <name val="Arial"/>
      <family val="2"/>
      <charset val="1"/>
    </font>
    <font>
      <b/>
      <sz val="10"/>
      <color rgb="FF000000"/>
      <name val="Arial"/>
      <family val="2"/>
      <charset val="1"/>
    </font>
    <font>
      <b/>
      <sz val="11"/>
      <color rgb="FFFFFFFF"/>
      <name val="Arial"/>
      <family val="2"/>
      <charset val="1"/>
    </font>
    <font>
      <b/>
      <sz val="13"/>
      <color rgb="FFFFFFFF"/>
      <name val="Arial"/>
      <family val="2"/>
      <charset val="1"/>
    </font>
    <font>
      <i/>
      <sz val="8"/>
      <color rgb="FF595959"/>
      <name val="Arial"/>
      <family val="2"/>
      <charset val="1"/>
    </font>
    <font>
      <b/>
      <sz val="11"/>
      <color rgb="FF000000"/>
      <name val="Arial"/>
      <family val="2"/>
      <charset val="1"/>
    </font>
    <font>
      <sz val="9"/>
      <color rgb="FF000000"/>
      <name val="Arial"/>
      <family val="2"/>
      <charset val="1"/>
    </font>
    <font>
      <b/>
      <sz val="10"/>
      <color rgb="FF00B050"/>
      <name val="Arial"/>
      <family val="2"/>
      <charset val="1"/>
    </font>
    <font>
      <b/>
      <sz val="10"/>
      <color rgb="FF7F6000"/>
      <name val="Arial"/>
      <family val="2"/>
      <charset val="1"/>
    </font>
    <font>
      <b/>
      <sz val="10"/>
      <color rgb="FFC00000"/>
      <name val="Arial"/>
      <family val="2"/>
      <charset val="1"/>
    </font>
    <font>
      <b/>
      <sz val="13"/>
      <color rgb="FF000000"/>
      <name val="Arial"/>
      <family val="2"/>
      <charset val="1"/>
    </font>
    <font>
      <b/>
      <sz val="14"/>
      <color rgb="FF000000"/>
      <name val="Arial"/>
      <family val="2"/>
      <charset val="1"/>
    </font>
    <font>
      <i/>
      <sz val="10"/>
      <color rgb="FF595959"/>
      <name val="Arial"/>
      <family val="2"/>
      <charset val="1"/>
    </font>
    <font>
      <i/>
      <sz val="8"/>
      <color rgb="FF7F7F7F"/>
      <name val="Arial"/>
      <family val="2"/>
      <charset val="1"/>
    </font>
    <font>
      <b/>
      <sz val="10"/>
      <color rgb="FF0000FF"/>
      <name val="Arial"/>
      <family val="2"/>
      <charset val="1"/>
    </font>
    <font>
      <b/>
      <sz val="9"/>
      <color rgb="FFFFFFFF"/>
      <name val="Arial"/>
      <family val="2"/>
      <charset val="1"/>
    </font>
    <font>
      <sz val="9"/>
      <color rgb="FFFFFFFF"/>
      <name val="Arial"/>
      <family val="2"/>
      <charset val="1"/>
    </font>
    <font>
      <sz val="10"/>
      <name val="Arial"/>
      <family val="2"/>
    </font>
    <font>
      <sz val="10"/>
      <color rgb="FF008000"/>
      <name val="Arial"/>
      <family val="2"/>
      <charset val="1"/>
    </font>
    <font>
      <i/>
      <sz val="9"/>
      <color rgb="FFFFFFFF"/>
      <name val="Arial"/>
      <family val="2"/>
      <charset val="1"/>
    </font>
    <font>
      <sz val="10"/>
      <color rgb="FFFFFFFF"/>
      <name val="Arial"/>
      <family val="2"/>
      <charset val="1"/>
    </font>
    <font>
      <b/>
      <sz val="10"/>
      <color rgb="FF008000"/>
      <name val="Arial"/>
      <family val="2"/>
      <charset val="1"/>
    </font>
    <font>
      <b/>
      <sz val="12"/>
      <color rgb="FFFFFFFF"/>
      <name val="Arial"/>
      <family val="2"/>
      <charset val="1"/>
    </font>
    <font>
      <b/>
      <sz val="9"/>
      <color rgb="FF1F4E79"/>
      <name val="Arial"/>
      <family val="2"/>
      <charset val="1"/>
    </font>
  </fonts>
  <fills count="19">
    <fill>
      <patternFill patternType="none"/>
    </fill>
    <fill>
      <patternFill patternType="gray125"/>
    </fill>
    <fill>
      <patternFill patternType="solid">
        <fgColor rgb="FF1F4E79"/>
        <bgColor rgb="FF1C6B5F"/>
      </patternFill>
    </fill>
    <fill>
      <patternFill patternType="solid">
        <fgColor rgb="FFF2F2F2"/>
        <bgColor rgb="FFE2EFDA"/>
      </patternFill>
    </fill>
    <fill>
      <patternFill patternType="solid">
        <fgColor rgb="FFFFFFFF"/>
        <bgColor rgb="FFF2F2F2"/>
      </patternFill>
    </fill>
    <fill>
      <patternFill patternType="solid">
        <fgColor rgb="FF2E75B6"/>
        <bgColor rgb="FF0563C1"/>
      </patternFill>
    </fill>
    <fill>
      <patternFill patternType="solid">
        <fgColor rgb="FFDEEAF1"/>
        <bgColor rgb="FFD0EBE7"/>
      </patternFill>
    </fill>
    <fill>
      <patternFill patternType="solid">
        <fgColor rgb="FFE2EFDA"/>
        <bgColor rgb="FFDEEAF1"/>
      </patternFill>
    </fill>
    <fill>
      <patternFill patternType="solid">
        <fgColor rgb="FFFCE4D6"/>
        <bgColor rgb="FFF2F2F2"/>
      </patternFill>
    </fill>
    <fill>
      <patternFill patternType="solid">
        <fgColor rgb="FF1C6B5F"/>
        <bgColor rgb="FF1F4E79"/>
      </patternFill>
    </fill>
    <fill>
      <patternFill patternType="solid">
        <fgColor rgb="FFD0EBE7"/>
        <bgColor rgb="FFDEEAF1"/>
      </patternFill>
    </fill>
    <fill>
      <patternFill patternType="solid">
        <fgColor rgb="FF00B050"/>
        <bgColor rgb="FF008080"/>
      </patternFill>
    </fill>
    <fill>
      <patternFill patternType="solid">
        <fgColor rgb="FF92D050"/>
        <bgColor rgb="FF70AD47"/>
      </patternFill>
    </fill>
    <fill>
      <patternFill patternType="solid">
        <fgColor rgb="FFC6EFCE"/>
        <bgColor rgb="FFD0EBE7"/>
      </patternFill>
    </fill>
    <fill>
      <patternFill patternType="solid">
        <fgColor rgb="FFBDD7EE"/>
        <bgColor rgb="FFD9D9D9"/>
      </patternFill>
    </fill>
    <fill>
      <patternFill patternType="solid">
        <fgColor rgb="FFFFEB9C"/>
        <bgColor rgb="FFFCE4D6"/>
      </patternFill>
    </fill>
    <fill>
      <patternFill patternType="solid">
        <fgColor rgb="FFFFC7CE"/>
        <bgColor rgb="FFFCE4D6"/>
      </patternFill>
    </fill>
    <fill>
      <patternFill patternType="solid">
        <fgColor rgb="FFFF0000"/>
        <bgColor rgb="FFC00000"/>
      </patternFill>
    </fill>
    <fill>
      <patternFill patternType="solid">
        <fgColor theme="0" tint="-0.249977111117893"/>
        <bgColor rgb="FFFFFF00"/>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595959"/>
      </left>
      <right style="medium">
        <color rgb="FF595959"/>
      </right>
      <top style="medium">
        <color rgb="FF595959"/>
      </top>
      <bottom style="medium">
        <color rgb="FF595959"/>
      </bottom>
      <diagonal/>
    </border>
    <border>
      <left style="thin">
        <color indexed="64"/>
      </left>
      <right style="thin">
        <color indexed="64"/>
      </right>
      <top style="thin">
        <color indexed="64"/>
      </top>
      <bottom style="thin">
        <color indexed="64"/>
      </bottom>
      <diagonal/>
    </border>
    <border>
      <left/>
      <right/>
      <top/>
      <bottom style="thin">
        <color rgb="FFBFBFBF"/>
      </bottom>
      <diagonal/>
    </border>
  </borders>
  <cellStyleXfs count="1">
    <xf numFmtId="0" fontId="0" fillId="0" borderId="0"/>
  </cellStyleXfs>
  <cellXfs count="223">
    <xf numFmtId="0" fontId="0" fillId="0" borderId="0" xfId="0"/>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left" vertical="center"/>
    </xf>
    <xf numFmtId="0" fontId="6" fillId="3" borderId="1" xfId="0" applyFont="1" applyFill="1" applyBorder="1" applyAlignment="1">
      <alignment horizontal="left" vertical="center"/>
    </xf>
    <xf numFmtId="0" fontId="4" fillId="4" borderId="1" xfId="0" applyFont="1" applyFill="1" applyBorder="1" applyAlignment="1">
      <alignment horizontal="center" vertical="center"/>
    </xf>
    <xf numFmtId="0" fontId="5" fillId="4" borderId="1" xfId="0" applyFont="1" applyFill="1" applyBorder="1" applyAlignment="1">
      <alignment horizontal="left" vertical="center"/>
    </xf>
    <xf numFmtId="0" fontId="6" fillId="4" borderId="1" xfId="0" applyFont="1" applyFill="1" applyBorder="1" applyAlignment="1">
      <alignment horizontal="left" vertical="center"/>
    </xf>
    <xf numFmtId="0" fontId="7" fillId="3" borderId="1" xfId="0" applyFont="1" applyFill="1" applyBorder="1" applyAlignment="1">
      <alignment horizontal="left" vertical="center"/>
    </xf>
    <xf numFmtId="0" fontId="0" fillId="3" borderId="1" xfId="0" applyFill="1" applyBorder="1"/>
    <xf numFmtId="0" fontId="0" fillId="6" borderId="1" xfId="0" applyFill="1" applyBorder="1"/>
    <xf numFmtId="0" fontId="8" fillId="3" borderId="1" xfId="0" applyFont="1" applyFill="1" applyBorder="1" applyAlignment="1">
      <alignment horizontal="left" vertical="center"/>
    </xf>
    <xf numFmtId="0" fontId="0" fillId="7" borderId="1" xfId="0" applyFill="1" applyBorder="1"/>
    <xf numFmtId="0" fontId="0" fillId="8" borderId="1" xfId="0" applyFill="1" applyBorder="1"/>
    <xf numFmtId="0" fontId="8" fillId="0" borderId="1" xfId="0" applyFont="1" applyBorder="1" applyAlignment="1">
      <alignment horizontal="left" vertical="center"/>
    </xf>
    <xf numFmtId="0" fontId="2" fillId="0" borderId="0" xfId="0" applyFont="1" applyAlignment="1">
      <alignment horizontal="left" vertical="center"/>
    </xf>
    <xf numFmtId="0" fontId="8" fillId="6" borderId="1" xfId="0" applyFont="1" applyFill="1" applyBorder="1" applyAlignment="1">
      <alignment horizontal="left" vertical="center"/>
    </xf>
    <xf numFmtId="4" fontId="8" fillId="6" borderId="1" xfId="0" applyNumberFormat="1" applyFont="1" applyFill="1" applyBorder="1" applyAlignment="1">
      <alignment horizontal="right" vertical="center"/>
    </xf>
    <xf numFmtId="0" fontId="2" fillId="6" borderId="0" xfId="0" applyFont="1" applyFill="1" applyAlignment="1">
      <alignment horizontal="left" vertical="center"/>
    </xf>
    <xf numFmtId="0" fontId="8" fillId="10" borderId="1" xfId="0" applyFont="1" applyFill="1" applyBorder="1" applyAlignment="1">
      <alignment horizontal="left" vertical="center"/>
    </xf>
    <xf numFmtId="165" fontId="8" fillId="10" borderId="1" xfId="0" applyNumberFormat="1" applyFont="1" applyFill="1" applyBorder="1" applyAlignment="1">
      <alignment horizontal="right" vertical="center"/>
    </xf>
    <xf numFmtId="0" fontId="2" fillId="10" borderId="0" xfId="0" applyFont="1" applyFill="1" applyAlignment="1">
      <alignment horizontal="left" vertical="center"/>
    </xf>
    <xf numFmtId="166" fontId="8" fillId="6" borderId="1" xfId="0" applyNumberFormat="1" applyFont="1" applyFill="1" applyBorder="1" applyAlignment="1">
      <alignment horizontal="right" vertical="center"/>
    </xf>
    <xf numFmtId="0" fontId="10" fillId="7" borderId="1" xfId="0" applyFont="1" applyFill="1" applyBorder="1" applyAlignment="1">
      <alignment horizontal="left" vertical="center"/>
    </xf>
    <xf numFmtId="4" fontId="10" fillId="7" borderId="1" xfId="0" applyNumberFormat="1" applyFont="1" applyFill="1" applyBorder="1" applyAlignment="1">
      <alignment horizontal="right" vertical="center"/>
    </xf>
    <xf numFmtId="0" fontId="2" fillId="7" borderId="0" xfId="0" applyFont="1" applyFill="1" applyAlignment="1">
      <alignment horizontal="left" vertical="center"/>
    </xf>
    <xf numFmtId="0" fontId="11" fillId="9" borderId="1" xfId="0" applyFont="1" applyFill="1" applyBorder="1" applyAlignment="1">
      <alignment horizontal="left" vertical="center"/>
    </xf>
    <xf numFmtId="4" fontId="11" fillId="9" borderId="1" xfId="0" applyNumberFormat="1" applyFont="1" applyFill="1" applyBorder="1" applyAlignment="1">
      <alignment horizontal="right" vertical="center"/>
    </xf>
    <xf numFmtId="0" fontId="2" fillId="9" borderId="0" xfId="0" applyFont="1" applyFill="1" applyAlignment="1">
      <alignment horizontal="left" vertical="center"/>
    </xf>
    <xf numFmtId="165" fontId="11" fillId="9" borderId="1" xfId="0" applyNumberFormat="1" applyFont="1" applyFill="1" applyBorder="1" applyAlignment="1">
      <alignment horizontal="right" vertical="center"/>
    </xf>
    <xf numFmtId="164" fontId="8" fillId="6" borderId="1" xfId="0" applyNumberFormat="1" applyFont="1" applyFill="1" applyBorder="1" applyAlignment="1">
      <alignment horizontal="right" vertical="center"/>
    </xf>
    <xf numFmtId="165" fontId="8" fillId="6" borderId="1" xfId="0" applyNumberFormat="1" applyFont="1" applyFill="1" applyBorder="1" applyAlignment="1">
      <alignment horizontal="right" vertical="center"/>
    </xf>
    <xf numFmtId="4" fontId="8" fillId="3" borderId="1" xfId="0" applyNumberFormat="1" applyFont="1" applyFill="1" applyBorder="1" applyAlignment="1">
      <alignment horizontal="right" vertical="center"/>
    </xf>
    <xf numFmtId="0" fontId="2" fillId="3" borderId="1" xfId="0" applyFont="1" applyFill="1" applyBorder="1" applyAlignment="1">
      <alignment horizontal="left" vertical="center"/>
    </xf>
    <xf numFmtId="0" fontId="10" fillId="6" borderId="1" xfId="0" applyFont="1" applyFill="1" applyBorder="1" applyAlignment="1">
      <alignment horizontal="left" vertical="center"/>
    </xf>
    <xf numFmtId="165" fontId="10" fillId="6" borderId="1" xfId="0" applyNumberFormat="1" applyFont="1" applyFill="1" applyBorder="1" applyAlignment="1">
      <alignment horizontal="right" vertical="center"/>
    </xf>
    <xf numFmtId="0" fontId="2" fillId="6" borderId="1" xfId="0" applyFont="1" applyFill="1" applyBorder="1" applyAlignment="1">
      <alignment horizontal="left" vertical="center"/>
    </xf>
    <xf numFmtId="0" fontId="14" fillId="3" borderId="1" xfId="0" applyFont="1" applyFill="1" applyBorder="1" applyAlignment="1">
      <alignment horizontal="center" vertical="center"/>
    </xf>
    <xf numFmtId="0" fontId="15" fillId="3" borderId="1" xfId="0" applyFont="1" applyFill="1" applyBorder="1" applyAlignment="1">
      <alignment horizontal="left" vertical="center"/>
    </xf>
    <xf numFmtId="0" fontId="16" fillId="3" borderId="1" xfId="0" applyFont="1" applyFill="1" applyBorder="1" applyAlignment="1">
      <alignment horizontal="center" vertical="center"/>
    </xf>
    <xf numFmtId="0" fontId="17"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19" fillId="3" borderId="1" xfId="0" applyFont="1" applyFill="1" applyBorder="1" applyAlignment="1">
      <alignment horizontal="left" vertical="center"/>
    </xf>
    <xf numFmtId="0" fontId="20" fillId="3" borderId="1" xfId="0" applyFont="1" applyFill="1" applyBorder="1" applyAlignment="1">
      <alignment horizontal="center" vertical="center"/>
    </xf>
    <xf numFmtId="0" fontId="21" fillId="3" borderId="1" xfId="0" applyFont="1" applyFill="1" applyBorder="1" applyAlignment="1">
      <alignment horizontal="left" vertical="center"/>
    </xf>
    <xf numFmtId="165" fontId="10" fillId="3" borderId="1" xfId="0" applyNumberFormat="1" applyFont="1" applyFill="1" applyBorder="1" applyAlignment="1">
      <alignment horizontal="center" vertical="center"/>
    </xf>
    <xf numFmtId="0" fontId="24" fillId="2" borderId="1" xfId="0" applyFont="1" applyFill="1" applyBorder="1" applyAlignment="1">
      <alignment horizontal="center" vertical="center"/>
    </xf>
    <xf numFmtId="0" fontId="3" fillId="11" borderId="3" xfId="0" applyFont="1" applyFill="1" applyBorder="1" applyAlignment="1">
      <alignment horizontal="left" vertical="center"/>
    </xf>
    <xf numFmtId="167" fontId="11" fillId="11" borderId="3" xfId="0" applyNumberFormat="1" applyFont="1" applyFill="1" applyBorder="1" applyAlignment="1">
      <alignment horizontal="right" vertical="center"/>
    </xf>
    <xf numFmtId="0" fontId="25" fillId="11" borderId="3" xfId="0" applyFont="1" applyFill="1" applyBorder="1" applyAlignment="1">
      <alignment horizontal="center" vertical="center"/>
    </xf>
    <xf numFmtId="0" fontId="10" fillId="12" borderId="3" xfId="0" applyFont="1" applyFill="1" applyBorder="1" applyAlignment="1">
      <alignment horizontal="left" vertical="center"/>
    </xf>
    <xf numFmtId="167" fontId="14" fillId="12" borderId="3" xfId="0" applyNumberFormat="1" applyFont="1" applyFill="1" applyBorder="1" applyAlignment="1">
      <alignment horizontal="right" vertical="center"/>
    </xf>
    <xf numFmtId="0" fontId="15" fillId="12" borderId="3" xfId="0" applyFont="1" applyFill="1" applyBorder="1" applyAlignment="1">
      <alignment horizontal="center" vertical="center"/>
    </xf>
    <xf numFmtId="0" fontId="10" fillId="13" borderId="3" xfId="0" applyFont="1" applyFill="1" applyBorder="1" applyAlignment="1">
      <alignment horizontal="left" vertical="center"/>
    </xf>
    <xf numFmtId="167" fontId="14" fillId="13" borderId="3" xfId="0" applyNumberFormat="1" applyFont="1" applyFill="1" applyBorder="1" applyAlignment="1">
      <alignment horizontal="right" vertical="center"/>
    </xf>
    <xf numFmtId="0" fontId="15" fillId="13" borderId="3" xfId="0" applyFont="1" applyFill="1" applyBorder="1" applyAlignment="1">
      <alignment horizontal="center" vertical="center"/>
    </xf>
    <xf numFmtId="0" fontId="10" fillId="14" borderId="3" xfId="0" applyFont="1" applyFill="1" applyBorder="1" applyAlignment="1">
      <alignment horizontal="left" vertical="center"/>
    </xf>
    <xf numFmtId="167" fontId="14" fillId="14" borderId="3" xfId="0" applyNumberFormat="1" applyFont="1" applyFill="1" applyBorder="1" applyAlignment="1">
      <alignment horizontal="right" vertical="center"/>
    </xf>
    <xf numFmtId="0" fontId="15" fillId="14" borderId="3" xfId="0" applyFont="1" applyFill="1" applyBorder="1" applyAlignment="1">
      <alignment horizontal="center" vertical="center"/>
    </xf>
    <xf numFmtId="0" fontId="10" fillId="15" borderId="3" xfId="0" applyFont="1" applyFill="1" applyBorder="1" applyAlignment="1">
      <alignment horizontal="left" vertical="center"/>
    </xf>
    <xf numFmtId="167" fontId="14" fillId="15" borderId="3" xfId="0" applyNumberFormat="1" applyFont="1" applyFill="1" applyBorder="1" applyAlignment="1">
      <alignment horizontal="right" vertical="center"/>
    </xf>
    <xf numFmtId="0" fontId="15" fillId="15" borderId="3" xfId="0" applyFont="1" applyFill="1" applyBorder="1" applyAlignment="1">
      <alignment horizontal="center" vertical="center"/>
    </xf>
    <xf numFmtId="0" fontId="10" fillId="16" borderId="3" xfId="0" applyFont="1" applyFill="1" applyBorder="1" applyAlignment="1">
      <alignment horizontal="left" vertical="center"/>
    </xf>
    <xf numFmtId="167" fontId="14" fillId="16" borderId="3" xfId="0" applyNumberFormat="1" applyFont="1" applyFill="1" applyBorder="1" applyAlignment="1">
      <alignment horizontal="right" vertical="center"/>
    </xf>
    <xf numFmtId="0" fontId="15" fillId="16" borderId="3" xfId="0" applyFont="1" applyFill="1" applyBorder="1" applyAlignment="1">
      <alignment horizontal="center" vertical="center"/>
    </xf>
    <xf numFmtId="0" fontId="3" fillId="17" borderId="3" xfId="0" applyFont="1" applyFill="1" applyBorder="1" applyAlignment="1">
      <alignment horizontal="left" vertical="center"/>
    </xf>
    <xf numFmtId="167" fontId="11" fillId="17" borderId="3" xfId="0" applyNumberFormat="1" applyFont="1" applyFill="1" applyBorder="1" applyAlignment="1">
      <alignment horizontal="right" vertical="center"/>
    </xf>
    <xf numFmtId="0" fontId="25" fillId="17" borderId="3" xfId="0" applyFont="1" applyFill="1" applyBorder="1" applyAlignment="1">
      <alignment horizontal="center" vertical="center"/>
    </xf>
    <xf numFmtId="4" fontId="14" fillId="3" borderId="1" xfId="0" applyNumberFormat="1" applyFont="1" applyFill="1" applyBorder="1" applyAlignment="1">
      <alignment horizontal="right" vertical="center"/>
    </xf>
    <xf numFmtId="0" fontId="10" fillId="6" borderId="3" xfId="0" applyFont="1" applyFill="1" applyBorder="1" applyAlignment="1">
      <alignment horizontal="left" vertical="center"/>
    </xf>
    <xf numFmtId="0" fontId="10" fillId="6" borderId="3" xfId="0" applyFont="1" applyFill="1" applyBorder="1" applyAlignment="1">
      <alignment horizontal="center" vertical="center"/>
    </xf>
    <xf numFmtId="0" fontId="15" fillId="6" borderId="1" xfId="0" applyFont="1" applyFill="1" applyBorder="1" applyAlignment="1">
      <alignment horizontal="left" vertical="center"/>
    </xf>
    <xf numFmtId="0" fontId="3" fillId="11" borderId="1" xfId="0" applyFont="1" applyFill="1" applyBorder="1" applyAlignment="1">
      <alignment horizontal="left" vertical="center"/>
    </xf>
    <xf numFmtId="0" fontId="25" fillId="11" borderId="1" xfId="0" applyFont="1" applyFill="1" applyBorder="1" applyAlignment="1">
      <alignment horizontal="left" vertical="center"/>
    </xf>
    <xf numFmtId="0" fontId="15" fillId="11" borderId="1" xfId="0" applyFont="1" applyFill="1" applyBorder="1" applyAlignment="1">
      <alignment horizontal="left" vertical="center"/>
    </xf>
    <xf numFmtId="0" fontId="10" fillId="12" borderId="1" xfId="0" applyFont="1" applyFill="1" applyBorder="1" applyAlignment="1">
      <alignment horizontal="left" vertical="center"/>
    </xf>
    <xf numFmtId="0" fontId="15" fillId="12" borderId="1" xfId="0" applyFont="1" applyFill="1" applyBorder="1" applyAlignment="1">
      <alignment horizontal="left" vertical="center"/>
    </xf>
    <xf numFmtId="0" fontId="10" fillId="13" borderId="1" xfId="0" applyFont="1" applyFill="1" applyBorder="1" applyAlignment="1">
      <alignment horizontal="left" vertical="center"/>
    </xf>
    <xf numFmtId="0" fontId="15" fillId="13" borderId="1" xfId="0" applyFont="1" applyFill="1" applyBorder="1" applyAlignment="1">
      <alignment horizontal="left" vertical="center"/>
    </xf>
    <xf numFmtId="0" fontId="10" fillId="14" borderId="1" xfId="0" applyFont="1" applyFill="1" applyBorder="1" applyAlignment="1">
      <alignment horizontal="left" vertical="center"/>
    </xf>
    <xf numFmtId="0" fontId="15" fillId="14" borderId="1" xfId="0" applyFont="1" applyFill="1" applyBorder="1" applyAlignment="1">
      <alignment horizontal="left" vertical="center"/>
    </xf>
    <xf numFmtId="0" fontId="10" fillId="15" borderId="1" xfId="0" applyFont="1" applyFill="1" applyBorder="1" applyAlignment="1">
      <alignment horizontal="left" vertical="center"/>
    </xf>
    <xf numFmtId="0" fontId="15" fillId="15" borderId="1" xfId="0" applyFont="1" applyFill="1" applyBorder="1" applyAlignment="1">
      <alignment horizontal="left" vertical="center"/>
    </xf>
    <xf numFmtId="0" fontId="10" fillId="16" borderId="1" xfId="0" applyFont="1" applyFill="1" applyBorder="1" applyAlignment="1">
      <alignment horizontal="left" vertical="center"/>
    </xf>
    <xf numFmtId="0" fontId="15" fillId="16" borderId="1" xfId="0" applyFont="1" applyFill="1" applyBorder="1" applyAlignment="1">
      <alignment horizontal="left" vertical="center"/>
    </xf>
    <xf numFmtId="0" fontId="3" fillId="17" borderId="1" xfId="0" applyFont="1" applyFill="1" applyBorder="1" applyAlignment="1">
      <alignment horizontal="left" vertical="center"/>
    </xf>
    <xf numFmtId="0" fontId="25" fillId="17" borderId="1" xfId="0" applyFont="1" applyFill="1" applyBorder="1" applyAlignment="1">
      <alignment horizontal="left" vertical="center"/>
    </xf>
    <xf numFmtId="0" fontId="15" fillId="17" borderId="1" xfId="0" applyFont="1" applyFill="1" applyBorder="1" applyAlignment="1">
      <alignment horizontal="left" vertical="center"/>
    </xf>
    <xf numFmtId="0" fontId="8" fillId="0" borderId="1" xfId="0" applyFont="1" applyBorder="1"/>
    <xf numFmtId="0" fontId="2" fillId="0" borderId="1" xfId="0" applyFont="1" applyBorder="1"/>
    <xf numFmtId="0" fontId="0" fillId="0" borderId="1" xfId="0" applyBorder="1"/>
    <xf numFmtId="0" fontId="3" fillId="5" borderId="1" xfId="0" applyFont="1" applyFill="1" applyBorder="1" applyAlignment="1">
      <alignment horizontal="center" vertical="center"/>
    </xf>
    <xf numFmtId="164" fontId="27" fillId="0" borderId="1" xfId="0" applyNumberFormat="1" applyFont="1" applyBorder="1"/>
    <xf numFmtId="164" fontId="10" fillId="8" borderId="1" xfId="0" applyNumberFormat="1" applyFont="1" applyFill="1" applyBorder="1" applyAlignment="1">
      <alignment horizontal="right" vertical="center"/>
    </xf>
    <xf numFmtId="0" fontId="10" fillId="7" borderId="1" xfId="0" applyFont="1" applyFill="1" applyBorder="1"/>
    <xf numFmtId="164" fontId="10" fillId="7" borderId="1" xfId="0" applyNumberFormat="1" applyFont="1" applyFill="1" applyBorder="1" applyAlignment="1">
      <alignment horizontal="right" vertical="center"/>
    </xf>
    <xf numFmtId="0" fontId="2" fillId="7" borderId="1" xfId="0" applyFont="1" applyFill="1" applyBorder="1"/>
    <xf numFmtId="0" fontId="8" fillId="6" borderId="1" xfId="0" applyFont="1" applyFill="1" applyBorder="1"/>
    <xf numFmtId="0" fontId="3" fillId="9" borderId="1" xfId="0" applyFont="1" applyFill="1" applyBorder="1"/>
    <xf numFmtId="4" fontId="3" fillId="9" borderId="1" xfId="0" applyNumberFormat="1" applyFont="1" applyFill="1" applyBorder="1" applyAlignment="1">
      <alignment horizontal="right" vertical="center"/>
    </xf>
    <xf numFmtId="0" fontId="28" fillId="9" borderId="1" xfId="0" applyFont="1" applyFill="1" applyBorder="1"/>
    <xf numFmtId="0" fontId="0" fillId="9" borderId="1" xfId="0" applyFill="1" applyBorder="1"/>
    <xf numFmtId="0" fontId="8" fillId="10" borderId="1" xfId="0" applyFont="1" applyFill="1" applyBorder="1"/>
    <xf numFmtId="0" fontId="2" fillId="10" borderId="1" xfId="0" applyFont="1" applyFill="1" applyBorder="1"/>
    <xf numFmtId="0" fontId="0" fillId="10" borderId="1" xfId="0" applyFill="1" applyBorder="1"/>
    <xf numFmtId="0" fontId="8" fillId="7" borderId="1" xfId="0" applyFont="1" applyFill="1" applyBorder="1"/>
    <xf numFmtId="4" fontId="8" fillId="7" borderId="1" xfId="0" applyNumberFormat="1" applyFont="1" applyFill="1" applyBorder="1" applyAlignment="1">
      <alignment horizontal="right" vertical="center"/>
    </xf>
    <xf numFmtId="165" fontId="3" fillId="9" borderId="1" xfId="0" applyNumberFormat="1" applyFont="1" applyFill="1" applyBorder="1" applyAlignment="1">
      <alignment horizontal="right" vertical="center"/>
    </xf>
    <xf numFmtId="0" fontId="2" fillId="6" borderId="1" xfId="0" applyFont="1" applyFill="1" applyBorder="1"/>
    <xf numFmtId="0" fontId="0" fillId="3" borderId="1" xfId="0" applyFill="1" applyBorder="1" applyAlignment="1">
      <alignment horizontal="left" vertical="center"/>
    </xf>
    <xf numFmtId="4" fontId="11" fillId="11" borderId="3" xfId="0" applyNumberFormat="1" applyFont="1" applyFill="1" applyBorder="1" applyAlignment="1">
      <alignment horizontal="right" vertical="center"/>
    </xf>
    <xf numFmtId="165" fontId="29" fillId="11" borderId="3" xfId="0" applyNumberFormat="1" applyFont="1" applyFill="1" applyBorder="1" applyAlignment="1">
      <alignment horizontal="center" vertical="center"/>
    </xf>
    <xf numFmtId="165" fontId="3" fillId="11" borderId="3" xfId="0" applyNumberFormat="1" applyFont="1" applyFill="1" applyBorder="1" applyAlignment="1">
      <alignment horizontal="center" vertical="center"/>
    </xf>
    <xf numFmtId="0" fontId="0" fillId="11" borderId="1" xfId="0" applyFill="1" applyBorder="1" applyAlignment="1">
      <alignment horizontal="left" vertical="center"/>
    </xf>
    <xf numFmtId="4" fontId="14" fillId="12" borderId="3" xfId="0" applyNumberFormat="1" applyFont="1" applyFill="1" applyBorder="1" applyAlignment="1">
      <alignment horizontal="right" vertical="center"/>
    </xf>
    <xf numFmtId="165" fontId="8" fillId="12" borderId="3" xfId="0" applyNumberFormat="1" applyFont="1" applyFill="1" applyBorder="1" applyAlignment="1">
      <alignment horizontal="center" vertical="center"/>
    </xf>
    <xf numFmtId="165" fontId="10" fillId="12" borderId="3" xfId="0" applyNumberFormat="1" applyFont="1" applyFill="1" applyBorder="1" applyAlignment="1">
      <alignment horizontal="center" vertical="center"/>
    </xf>
    <xf numFmtId="0" fontId="0" fillId="12" borderId="1" xfId="0" applyFill="1" applyBorder="1" applyAlignment="1">
      <alignment horizontal="left" vertical="center"/>
    </xf>
    <xf numFmtId="4" fontId="14" fillId="13" borderId="3" xfId="0" applyNumberFormat="1" applyFont="1" applyFill="1" applyBorder="1" applyAlignment="1">
      <alignment horizontal="right" vertical="center"/>
    </xf>
    <xf numFmtId="165" fontId="8" fillId="13" borderId="3" xfId="0" applyNumberFormat="1" applyFont="1" applyFill="1" applyBorder="1" applyAlignment="1">
      <alignment horizontal="center" vertical="center"/>
    </xf>
    <xf numFmtId="165" fontId="10" fillId="13" borderId="3" xfId="0" applyNumberFormat="1" applyFont="1" applyFill="1" applyBorder="1" applyAlignment="1">
      <alignment horizontal="center" vertical="center"/>
    </xf>
    <xf numFmtId="0" fontId="0" fillId="13" borderId="1" xfId="0" applyFill="1" applyBorder="1" applyAlignment="1">
      <alignment horizontal="left" vertical="center"/>
    </xf>
    <xf numFmtId="4" fontId="14" fillId="14" borderId="3" xfId="0" applyNumberFormat="1" applyFont="1" applyFill="1" applyBorder="1" applyAlignment="1">
      <alignment horizontal="right" vertical="center"/>
    </xf>
    <xf numFmtId="165" fontId="8" fillId="14" borderId="3" xfId="0" applyNumberFormat="1" applyFont="1" applyFill="1" applyBorder="1" applyAlignment="1">
      <alignment horizontal="center" vertical="center"/>
    </xf>
    <xf numFmtId="165" fontId="10" fillId="14" borderId="3" xfId="0" applyNumberFormat="1" applyFont="1" applyFill="1" applyBorder="1" applyAlignment="1">
      <alignment horizontal="center" vertical="center"/>
    </xf>
    <xf numFmtId="0" fontId="0" fillId="14" borderId="1" xfId="0" applyFill="1" applyBorder="1" applyAlignment="1">
      <alignment horizontal="left" vertical="center"/>
    </xf>
    <xf numFmtId="4" fontId="14" fillId="15" borderId="3" xfId="0" applyNumberFormat="1" applyFont="1" applyFill="1" applyBorder="1" applyAlignment="1">
      <alignment horizontal="right" vertical="center"/>
    </xf>
    <xf numFmtId="165" fontId="8" fillId="15" borderId="3" xfId="0" applyNumberFormat="1" applyFont="1" applyFill="1" applyBorder="1" applyAlignment="1">
      <alignment horizontal="center" vertical="center"/>
    </xf>
    <xf numFmtId="165" fontId="10" fillId="15" borderId="3" xfId="0" applyNumberFormat="1" applyFont="1" applyFill="1" applyBorder="1" applyAlignment="1">
      <alignment horizontal="center" vertical="center"/>
    </xf>
    <xf numFmtId="0" fontId="0" fillId="15" borderId="1" xfId="0" applyFill="1" applyBorder="1" applyAlignment="1">
      <alignment horizontal="left" vertical="center"/>
    </xf>
    <xf numFmtId="4" fontId="14" fillId="16" borderId="3" xfId="0" applyNumberFormat="1" applyFont="1" applyFill="1" applyBorder="1" applyAlignment="1">
      <alignment horizontal="right" vertical="center"/>
    </xf>
    <xf numFmtId="165" fontId="8" fillId="16" borderId="3" xfId="0" applyNumberFormat="1" applyFont="1" applyFill="1" applyBorder="1" applyAlignment="1">
      <alignment horizontal="center" vertical="center"/>
    </xf>
    <xf numFmtId="165" fontId="10" fillId="16" borderId="3" xfId="0" applyNumberFormat="1" applyFont="1" applyFill="1" applyBorder="1" applyAlignment="1">
      <alignment horizontal="center" vertical="center"/>
    </xf>
    <xf numFmtId="0" fontId="0" fillId="16" borderId="1" xfId="0" applyFill="1" applyBorder="1" applyAlignment="1">
      <alignment horizontal="left" vertical="center"/>
    </xf>
    <xf numFmtId="4" fontId="11" fillId="17" borderId="3" xfId="0" applyNumberFormat="1" applyFont="1" applyFill="1" applyBorder="1" applyAlignment="1">
      <alignment horizontal="right" vertical="center"/>
    </xf>
    <xf numFmtId="165" fontId="29" fillId="17" borderId="3" xfId="0" applyNumberFormat="1" applyFont="1" applyFill="1" applyBorder="1" applyAlignment="1">
      <alignment horizontal="center" vertical="center"/>
    </xf>
    <xf numFmtId="165" fontId="3" fillId="17" borderId="3" xfId="0" applyNumberFormat="1" applyFont="1" applyFill="1" applyBorder="1" applyAlignment="1">
      <alignment horizontal="center" vertical="center"/>
    </xf>
    <xf numFmtId="0" fontId="0" fillId="17" borderId="1" xfId="0" applyFill="1" applyBorder="1" applyAlignment="1">
      <alignment horizontal="left" vertical="center"/>
    </xf>
    <xf numFmtId="0" fontId="0" fillId="6" borderId="1" xfId="0" applyFill="1" applyBorder="1" applyAlignment="1">
      <alignment horizontal="left" vertical="center"/>
    </xf>
    <xf numFmtId="0" fontId="3" fillId="9" borderId="1" xfId="0" applyFont="1" applyFill="1" applyBorder="1" applyAlignment="1">
      <alignment horizontal="left" vertical="center"/>
    </xf>
    <xf numFmtId="165" fontId="30" fillId="3" borderId="1" xfId="0" applyNumberFormat="1" applyFont="1" applyFill="1" applyBorder="1" applyAlignment="1">
      <alignment horizontal="right" vertical="center"/>
    </xf>
    <xf numFmtId="164" fontId="30" fillId="3" borderId="1" xfId="0" applyNumberFormat="1" applyFont="1" applyFill="1" applyBorder="1" applyAlignment="1">
      <alignment horizontal="right" vertical="center"/>
    </xf>
    <xf numFmtId="0" fontId="3" fillId="9" borderId="1" xfId="0" applyFont="1" applyFill="1" applyBorder="1" applyAlignment="1">
      <alignment horizontal="center" vertical="center"/>
    </xf>
    <xf numFmtId="164" fontId="27" fillId="3" borderId="1" xfId="0" applyNumberFormat="1" applyFont="1" applyFill="1" applyBorder="1" applyAlignment="1">
      <alignment horizontal="right" vertical="center"/>
    </xf>
    <xf numFmtId="164" fontId="8" fillId="3" borderId="1" xfId="0" applyNumberFormat="1" applyFont="1" applyFill="1" applyBorder="1" applyAlignment="1">
      <alignment horizontal="right" vertical="center"/>
    </xf>
    <xf numFmtId="164" fontId="8" fillId="8" borderId="1" xfId="0" applyNumberFormat="1" applyFont="1" applyFill="1" applyBorder="1" applyAlignment="1">
      <alignment horizontal="right" vertical="center"/>
    </xf>
    <xf numFmtId="165" fontId="6" fillId="3" borderId="1" xfId="0" applyNumberFormat="1" applyFont="1" applyFill="1" applyBorder="1" applyAlignment="1">
      <alignment horizontal="right" vertical="center"/>
    </xf>
    <xf numFmtId="164" fontId="10" fillId="6" borderId="1" xfId="0" applyNumberFormat="1" applyFont="1" applyFill="1" applyBorder="1" applyAlignment="1">
      <alignment horizontal="right" vertical="center"/>
    </xf>
    <xf numFmtId="0" fontId="8" fillId="8" borderId="1" xfId="0" applyFont="1" applyFill="1" applyBorder="1" applyAlignment="1">
      <alignment horizontal="left" vertical="center"/>
    </xf>
    <xf numFmtId="0" fontId="0" fillId="7" borderId="1" xfId="0" applyFill="1" applyBorder="1" applyAlignment="1">
      <alignment horizontal="left" vertical="center"/>
    </xf>
    <xf numFmtId="0" fontId="10" fillId="8" borderId="1" xfId="0" applyFont="1" applyFill="1" applyBorder="1" applyAlignment="1">
      <alignment horizontal="left" vertical="center"/>
    </xf>
    <xf numFmtId="0" fontId="0" fillId="8" borderId="1" xfId="0" applyFill="1" applyBorder="1" applyAlignment="1">
      <alignment horizontal="left" vertical="center"/>
    </xf>
    <xf numFmtId="164" fontId="14" fillId="8" borderId="1" xfId="0" applyNumberFormat="1" applyFont="1" applyFill="1" applyBorder="1" applyAlignment="1">
      <alignment horizontal="right" vertical="center"/>
    </xf>
    <xf numFmtId="0" fontId="6" fillId="6" borderId="1" xfId="0" applyFont="1" applyFill="1" applyBorder="1" applyAlignment="1">
      <alignment horizontal="center" vertical="center"/>
    </xf>
    <xf numFmtId="168" fontId="6" fillId="6" borderId="1" xfId="0" applyNumberFormat="1" applyFont="1" applyFill="1" applyBorder="1" applyAlignment="1">
      <alignment horizontal="right" vertical="center"/>
    </xf>
    <xf numFmtId="168" fontId="6" fillId="8" borderId="1" xfId="0" applyNumberFormat="1" applyFont="1" applyFill="1" applyBorder="1" applyAlignment="1">
      <alignment horizontal="right" vertical="center"/>
    </xf>
    <xf numFmtId="0" fontId="6" fillId="7" borderId="1" xfId="0" applyFont="1" applyFill="1" applyBorder="1" applyAlignment="1">
      <alignment horizontal="center" vertical="center"/>
    </xf>
    <xf numFmtId="0" fontId="31" fillId="2" borderId="1" xfId="0" applyFont="1" applyFill="1" applyBorder="1" applyAlignment="1">
      <alignment horizontal="left" vertical="center"/>
    </xf>
    <xf numFmtId="164" fontId="31" fillId="2" borderId="1" xfId="0" applyNumberFormat="1" applyFont="1" applyFill="1" applyBorder="1" applyAlignment="1">
      <alignment horizontal="right" vertical="center"/>
    </xf>
    <xf numFmtId="0" fontId="28" fillId="2" borderId="1" xfId="0" applyFont="1" applyFill="1" applyBorder="1" applyAlignment="1">
      <alignment horizontal="left" vertical="center"/>
    </xf>
    <xf numFmtId="0" fontId="0" fillId="2" borderId="1" xfId="0" applyFill="1" applyBorder="1" applyAlignment="1">
      <alignment horizontal="left" vertical="center"/>
    </xf>
    <xf numFmtId="0" fontId="8" fillId="7" borderId="1" xfId="0" applyFont="1" applyFill="1" applyBorder="1" applyAlignment="1">
      <alignment horizontal="left" vertical="center"/>
    </xf>
    <xf numFmtId="164" fontId="8" fillId="7" borderId="1" xfId="0" applyNumberFormat="1" applyFont="1" applyFill="1" applyBorder="1" applyAlignment="1">
      <alignment horizontal="right" vertical="center"/>
    </xf>
    <xf numFmtId="0" fontId="2" fillId="7" borderId="1" xfId="0" applyFont="1" applyFill="1" applyBorder="1" applyAlignment="1">
      <alignment horizontal="left" vertical="center"/>
    </xf>
    <xf numFmtId="0" fontId="31" fillId="9" borderId="1" xfId="0" applyFont="1" applyFill="1" applyBorder="1" applyAlignment="1">
      <alignment horizontal="left" vertical="center"/>
    </xf>
    <xf numFmtId="4" fontId="12" fillId="9" borderId="1" xfId="0" applyNumberFormat="1" applyFont="1" applyFill="1" applyBorder="1" applyAlignment="1">
      <alignment horizontal="right" vertical="center"/>
    </xf>
    <xf numFmtId="0" fontId="28" fillId="9" borderId="1" xfId="0" applyFont="1" applyFill="1" applyBorder="1" applyAlignment="1">
      <alignment horizontal="left" vertical="center"/>
    </xf>
    <xf numFmtId="0" fontId="0" fillId="9" borderId="1" xfId="0" applyFill="1" applyBorder="1" applyAlignment="1">
      <alignment horizontal="left" vertical="center"/>
    </xf>
    <xf numFmtId="165" fontId="10" fillId="10" borderId="1" xfId="0" applyNumberFormat="1" applyFont="1" applyFill="1" applyBorder="1" applyAlignment="1">
      <alignment horizontal="right" vertical="center"/>
    </xf>
    <xf numFmtId="0" fontId="2" fillId="10" borderId="1" xfId="0" applyFont="1" applyFill="1" applyBorder="1" applyAlignment="1">
      <alignment horizontal="left" vertical="center"/>
    </xf>
    <xf numFmtId="0" fontId="0" fillId="10" borderId="1" xfId="0" applyFill="1" applyBorder="1" applyAlignment="1">
      <alignment horizontal="left" vertical="center"/>
    </xf>
    <xf numFmtId="0" fontId="32" fillId="6" borderId="1" xfId="0" applyFont="1" applyFill="1" applyBorder="1" applyAlignment="1">
      <alignment horizontal="left" vertical="center"/>
    </xf>
    <xf numFmtId="0" fontId="0" fillId="18" borderId="1" xfId="0" applyFill="1" applyBorder="1"/>
    <xf numFmtId="0" fontId="7" fillId="18" borderId="1" xfId="0" applyFont="1" applyFill="1" applyBorder="1" applyAlignment="1">
      <alignment horizontal="right" vertical="center"/>
    </xf>
    <xf numFmtId="4" fontId="7" fillId="18" borderId="1" xfId="0" applyNumberFormat="1" applyFont="1" applyFill="1" applyBorder="1" applyAlignment="1">
      <alignment horizontal="right" vertical="center"/>
    </xf>
    <xf numFmtId="164" fontId="7" fillId="18" borderId="1" xfId="0" applyNumberFormat="1" applyFont="1" applyFill="1" applyBorder="1" applyAlignment="1">
      <alignment horizontal="right" vertical="center"/>
    </xf>
    <xf numFmtId="165" fontId="7" fillId="18" borderId="1" xfId="0" applyNumberFormat="1" applyFont="1" applyFill="1" applyBorder="1" applyAlignment="1">
      <alignment horizontal="right" vertical="center"/>
    </xf>
    <xf numFmtId="166" fontId="7" fillId="18" borderId="1" xfId="0" applyNumberFormat="1" applyFont="1" applyFill="1" applyBorder="1" applyAlignment="1">
      <alignment horizontal="right" vertical="center"/>
    </xf>
    <xf numFmtId="165" fontId="23" fillId="18" borderId="1" xfId="0" applyNumberFormat="1" applyFont="1" applyFill="1" applyBorder="1" applyAlignment="1">
      <alignment horizontal="right" vertical="center"/>
    </xf>
    <xf numFmtId="0" fontId="8" fillId="0" borderId="4" xfId="0" applyFont="1" applyBorder="1" applyAlignment="1">
      <alignment horizontal="left" vertical="center"/>
    </xf>
    <xf numFmtId="0" fontId="7" fillId="18" borderId="4" xfId="0" applyFont="1" applyFill="1" applyBorder="1" applyAlignment="1">
      <alignment horizontal="right" vertical="center"/>
    </xf>
    <xf numFmtId="0" fontId="2" fillId="0" borderId="4" xfId="0" applyFont="1" applyBorder="1" applyAlignment="1">
      <alignment horizontal="left" vertical="center"/>
    </xf>
    <xf numFmtId="4" fontId="7" fillId="18" borderId="4" xfId="0" applyNumberFormat="1" applyFont="1" applyFill="1" applyBorder="1" applyAlignment="1">
      <alignment horizontal="right" vertical="center"/>
    </xf>
    <xf numFmtId="164" fontId="7" fillId="18" borderId="4" xfId="0" applyNumberFormat="1" applyFont="1" applyFill="1" applyBorder="1" applyAlignment="1">
      <alignment horizontal="right" vertical="center"/>
    </xf>
    <xf numFmtId="0" fontId="3" fillId="0" borderId="0" xfId="0" applyFont="1" applyAlignment="1">
      <alignment horizontal="left" vertical="center"/>
    </xf>
    <xf numFmtId="167" fontId="11" fillId="0" borderId="0" xfId="0" applyNumberFormat="1" applyFont="1" applyAlignment="1">
      <alignment horizontal="right" vertical="center"/>
    </xf>
    <xf numFmtId="0" fontId="25" fillId="0" borderId="0" xfId="0" applyFont="1" applyAlignment="1">
      <alignment horizontal="center" vertical="center"/>
    </xf>
    <xf numFmtId="4" fontId="11" fillId="0" borderId="0" xfId="0" applyNumberFormat="1" applyFont="1" applyAlignment="1">
      <alignment horizontal="right" vertical="center"/>
    </xf>
    <xf numFmtId="165" fontId="29" fillId="0" borderId="0" xfId="0" applyNumberFormat="1" applyFont="1" applyAlignment="1">
      <alignment horizontal="center" vertical="center"/>
    </xf>
    <xf numFmtId="165" fontId="3" fillId="0" borderId="0" xfId="0" applyNumberFormat="1" applyFont="1" applyAlignment="1">
      <alignment horizontal="center" vertical="center"/>
    </xf>
    <xf numFmtId="0" fontId="0" fillId="0" borderId="0" xfId="0" applyAlignment="1">
      <alignment horizontal="left" vertical="center"/>
    </xf>
    <xf numFmtId="165" fontId="7" fillId="18" borderId="4" xfId="0" applyNumberFormat="1" applyFont="1" applyFill="1" applyBorder="1" applyAlignment="1">
      <alignment horizontal="right" vertical="center"/>
    </xf>
    <xf numFmtId="166" fontId="7" fillId="18" borderId="4" xfId="0" applyNumberFormat="1" applyFont="1" applyFill="1" applyBorder="1" applyAlignment="1">
      <alignment horizontal="right"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5" borderId="2" xfId="0" applyFont="1" applyFill="1" applyBorder="1" applyAlignment="1">
      <alignment horizontal="center" vertical="center"/>
    </xf>
    <xf numFmtId="0" fontId="3" fillId="5" borderId="2" xfId="0" applyFont="1" applyFill="1" applyBorder="1" applyAlignment="1">
      <alignment horizontal="left" vertical="center"/>
    </xf>
    <xf numFmtId="0" fontId="3" fillId="9" borderId="2" xfId="0" applyFont="1" applyFill="1" applyBorder="1" applyAlignment="1">
      <alignment horizontal="left" vertical="center"/>
    </xf>
    <xf numFmtId="0" fontId="13" fillId="3" borderId="2" xfId="0" applyFont="1" applyFill="1" applyBorder="1" applyAlignment="1">
      <alignment horizontal="left" vertical="center" wrapText="1"/>
    </xf>
    <xf numFmtId="0" fontId="3" fillId="5" borderId="0" xfId="0" applyFont="1" applyFill="1" applyAlignment="1">
      <alignment horizontal="left" vertical="center"/>
    </xf>
    <xf numFmtId="0" fontId="3" fillId="2" borderId="0" xfId="0" applyFont="1" applyFill="1" applyAlignment="1">
      <alignment horizontal="left" vertical="center"/>
    </xf>
    <xf numFmtId="0" fontId="22" fillId="3" borderId="0" xfId="0" applyFont="1" applyFill="1" applyAlignment="1">
      <alignment horizontal="left" vertical="center" wrapText="1"/>
    </xf>
    <xf numFmtId="0" fontId="12" fillId="2" borderId="2" xfId="0" applyFont="1" applyFill="1" applyBorder="1" applyAlignment="1">
      <alignment horizontal="center" vertical="center"/>
    </xf>
    <xf numFmtId="0" fontId="12" fillId="2" borderId="0" xfId="0" applyFont="1" applyFill="1" applyAlignment="1">
      <alignment horizontal="center" vertical="center"/>
    </xf>
    <xf numFmtId="0" fontId="13" fillId="3" borderId="0" xfId="0" applyFont="1" applyFill="1" applyAlignment="1">
      <alignment horizontal="left" vertical="center" wrapText="1"/>
    </xf>
    <xf numFmtId="0" fontId="3" fillId="9" borderId="0" xfId="0" applyFont="1" applyFill="1" applyAlignment="1">
      <alignment horizontal="left" vertical="center"/>
    </xf>
    <xf numFmtId="0" fontId="9" fillId="2" borderId="0" xfId="0" applyFont="1" applyFill="1" applyAlignment="1">
      <alignment horizontal="center" vertical="center"/>
    </xf>
    <xf numFmtId="0" fontId="2" fillId="3" borderId="0" xfId="0" applyFont="1" applyFill="1" applyAlignment="1">
      <alignment horizontal="left" vertical="center" wrapText="1"/>
    </xf>
    <xf numFmtId="0" fontId="3" fillId="5" borderId="4" xfId="0" applyFont="1" applyFill="1" applyBorder="1" applyAlignment="1">
      <alignment horizontal="left" vertical="center"/>
    </xf>
    <xf numFmtId="0" fontId="15" fillId="14" borderId="1" xfId="0" applyFont="1" applyFill="1" applyBorder="1" applyAlignment="1">
      <alignment horizontal="left" vertical="center"/>
    </xf>
    <xf numFmtId="0" fontId="15" fillId="15" borderId="1" xfId="0" applyFont="1" applyFill="1" applyBorder="1" applyAlignment="1">
      <alignment horizontal="left" vertical="center"/>
    </xf>
    <xf numFmtId="0" fontId="15" fillId="16" borderId="1" xfId="0" applyFont="1" applyFill="1" applyBorder="1" applyAlignment="1">
      <alignment horizontal="left" vertical="center"/>
    </xf>
    <xf numFmtId="0" fontId="25" fillId="17" borderId="1" xfId="0" applyFont="1" applyFill="1" applyBorder="1" applyAlignment="1">
      <alignment horizontal="left" vertical="center"/>
    </xf>
    <xf numFmtId="0" fontId="25" fillId="11" borderId="1" xfId="0" applyFont="1" applyFill="1" applyBorder="1" applyAlignment="1">
      <alignment horizontal="left" vertical="center"/>
    </xf>
    <xf numFmtId="0" fontId="15" fillId="12" borderId="1" xfId="0" applyFont="1" applyFill="1" applyBorder="1" applyAlignment="1">
      <alignment horizontal="left" vertical="center"/>
    </xf>
    <xf numFmtId="0" fontId="15" fillId="13" borderId="1" xfId="0" applyFont="1" applyFill="1" applyBorder="1" applyAlignment="1">
      <alignment horizontal="left" vertical="center"/>
    </xf>
    <xf numFmtId="0" fontId="2" fillId="3" borderId="0" xfId="0" applyFont="1" applyFill="1" applyAlignment="1">
      <alignment horizontal="center" vertical="center" wrapText="1"/>
    </xf>
    <xf numFmtId="0" fontId="3" fillId="5" borderId="5" xfId="0" applyFont="1" applyFill="1" applyBorder="1" applyAlignment="1">
      <alignment horizontal="center" vertical="center"/>
    </xf>
    <xf numFmtId="0" fontId="6" fillId="6" borderId="2" xfId="0" applyFont="1" applyFill="1" applyBorder="1" applyAlignment="1">
      <alignment horizontal="left" vertical="center" wrapText="1"/>
    </xf>
    <xf numFmtId="0" fontId="22" fillId="3" borderId="2" xfId="0" applyFont="1" applyFill="1" applyBorder="1" applyAlignment="1">
      <alignment horizontal="left" vertical="center" wrapText="1"/>
    </xf>
    <xf numFmtId="0" fontId="11" fillId="5" borderId="2" xfId="0" applyFont="1" applyFill="1" applyBorder="1" applyAlignment="1">
      <alignment horizontal="left" vertical="center"/>
    </xf>
    <xf numFmtId="0" fontId="11" fillId="9" borderId="2" xfId="0" applyFont="1" applyFill="1" applyBorder="1" applyAlignment="1">
      <alignment horizontal="left" vertical="center"/>
    </xf>
    <xf numFmtId="0" fontId="9" fillId="2" borderId="2" xfId="0" applyFont="1" applyFill="1" applyBorder="1" applyAlignment="1">
      <alignment horizontal="center" vertical="center"/>
    </xf>
  </cellXfs>
  <cellStyles count="1">
    <cellStyle name="Normal" xfId="0" builtinId="0"/>
  </cellStyles>
  <dxfs count="432">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000000"/>
        <name val="Arial"/>
        <charset val="1"/>
      </font>
      <fill>
        <patternFill>
          <bgColor rgb="FFFFC7CE"/>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FFFFFF"/>
        <name val="Arial"/>
        <charset val="1"/>
      </font>
      <fill>
        <patternFill>
          <bgColor rgb="FF00B050"/>
        </patternFill>
      </fill>
    </dxf>
    <dxf>
      <font>
        <b/>
        <sz val="10"/>
        <color rgb="FF000000"/>
        <name val="Arial"/>
        <charset val="1"/>
      </font>
      <fill>
        <patternFill>
          <bgColor rgb="FF92D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FFFFFF"/>
        <name val="Arial"/>
        <charset val="1"/>
      </font>
      <fill>
        <patternFill>
          <bgColor rgb="FF00B050"/>
        </patternFill>
      </fill>
    </dxf>
    <dxf>
      <font>
        <b/>
        <sz val="10"/>
        <color rgb="FF000000"/>
        <name val="Arial"/>
        <charset val="1"/>
      </font>
      <fill>
        <patternFill>
          <bgColor rgb="FFFFC7CE"/>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C7CE"/>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FFFFFF"/>
        <name val="Arial"/>
        <charset val="1"/>
      </font>
      <fill>
        <patternFill>
          <bgColor rgb="FF00B050"/>
        </patternFill>
      </fill>
    </dxf>
    <dxf>
      <font>
        <b/>
        <sz val="10"/>
        <color rgb="FF000000"/>
        <name val="Arial"/>
        <charset val="1"/>
      </font>
      <fill>
        <patternFill>
          <bgColor rgb="FFFFC7CE"/>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C7CE"/>
        </patternFill>
      </fill>
    </dxf>
    <dxf>
      <font>
        <b/>
        <sz val="10"/>
        <color rgb="FF000000"/>
        <name val="Arial"/>
        <charset val="1"/>
      </font>
      <fill>
        <patternFill>
          <bgColor rgb="FFFFEB9C"/>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FFFFFF"/>
        <name val="Arial"/>
        <charset val="1"/>
      </font>
      <fill>
        <patternFill>
          <bgColor rgb="FF00B050"/>
        </patternFill>
      </fill>
    </dxf>
    <dxf>
      <font>
        <b/>
        <sz val="10"/>
        <color rgb="FF000000"/>
        <name val="Arial"/>
        <charset val="1"/>
      </font>
      <fill>
        <patternFill>
          <bgColor rgb="FFBDD7EE"/>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000000"/>
        <name val="Arial"/>
        <charset val="1"/>
      </font>
      <fill>
        <patternFill>
          <bgColor rgb="FFFFC7CE"/>
        </patternFill>
      </fill>
    </dxf>
    <dxf>
      <font>
        <b/>
        <sz val="10"/>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FFFFFF"/>
        <name val="Arial"/>
        <charset val="1"/>
      </font>
      <fill>
        <patternFill>
          <bgColor rgb="FF00B050"/>
        </patternFill>
      </fill>
    </dxf>
    <dxf>
      <font>
        <b/>
        <sz val="10"/>
        <color rgb="FF000000"/>
        <name val="Arial"/>
        <charset val="1"/>
      </font>
      <fill>
        <patternFill>
          <bgColor rgb="FFFFC7CE"/>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FFFFFF"/>
        <name val="Arial"/>
        <charset val="1"/>
      </font>
      <fill>
        <patternFill>
          <bgColor rgb="FF00B050"/>
        </patternFill>
      </fill>
    </dxf>
    <dxf>
      <font>
        <b/>
        <sz val="10"/>
        <color rgb="FF000000"/>
        <name val="Arial"/>
        <charset val="1"/>
      </font>
      <fill>
        <patternFill>
          <bgColor rgb="FFFFC7CE"/>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595959"/>
        <name val="Arial"/>
        <charset val="1"/>
      </font>
      <fill>
        <patternFill>
          <bgColor rgb="FFD9D9D9"/>
        </patternFill>
      </fill>
    </dxf>
    <dxf>
      <font>
        <b/>
        <sz val="10"/>
        <color rgb="FFFFFFFF"/>
        <name val="Arial"/>
        <charset val="1"/>
      </font>
      <fill>
        <patternFill>
          <bgColor rgb="FF00B050"/>
        </patternFill>
      </fill>
    </dxf>
    <dxf>
      <font>
        <b/>
        <sz val="10"/>
        <color rgb="FF000000"/>
        <name val="Arial"/>
        <charset val="1"/>
      </font>
      <fill>
        <patternFill>
          <bgColor rgb="FFFFEB9C"/>
        </patternFill>
      </fill>
    </dxf>
    <dxf>
      <font>
        <b/>
        <sz val="10"/>
        <color rgb="FF000000"/>
        <name val="Arial"/>
        <charset val="1"/>
      </font>
      <fill>
        <patternFill>
          <bgColor rgb="FFBDD7EE"/>
        </patternFill>
      </fill>
    </dxf>
    <dxf>
      <font>
        <b/>
        <sz val="10"/>
        <color rgb="FF000000"/>
        <name val="Arial"/>
        <charset val="1"/>
      </font>
      <fill>
        <patternFill>
          <bgColor rgb="FFC6EFCE"/>
        </patternFill>
      </fill>
    </dxf>
    <dxf>
      <font>
        <b/>
        <sz val="10"/>
        <color rgb="FF000000"/>
        <name val="Arial"/>
        <charset val="1"/>
      </font>
      <fill>
        <patternFill>
          <bgColor rgb="FF92D050"/>
        </patternFill>
      </fill>
    </dxf>
    <dxf>
      <font>
        <b/>
        <sz val="10"/>
        <color rgb="FFFFFFFF"/>
        <name val="Arial"/>
        <charset val="1"/>
      </font>
      <fill>
        <patternFill>
          <bgColor rgb="FF00B050"/>
        </patternFill>
      </fill>
    </dxf>
    <dxf>
      <font>
        <b/>
        <sz val="10"/>
        <color rgb="FF000000"/>
        <name val="Arial"/>
        <charset val="1"/>
      </font>
      <fill>
        <patternFill>
          <bgColor rgb="FFFFC7CE"/>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
      <font>
        <b/>
        <sz val="11"/>
        <color rgb="FFFFFFFF"/>
        <name val="Arial"/>
        <charset val="1"/>
      </font>
      <fill>
        <patternFill>
          <bgColor rgb="FFC00000"/>
        </patternFill>
      </fill>
    </dxf>
    <dxf>
      <font>
        <b/>
        <sz val="11"/>
        <color rgb="FFFFFFFF"/>
        <name val="Arial"/>
        <charset val="1"/>
      </font>
      <fill>
        <patternFill>
          <bgColor rgb="FFFF7043"/>
        </patternFill>
      </fill>
    </dxf>
    <dxf>
      <font>
        <b/>
        <sz val="11"/>
        <color rgb="FF000000"/>
        <name val="Arial"/>
        <charset val="1"/>
      </font>
      <fill>
        <patternFill>
          <bgColor rgb="FFFFD700"/>
        </patternFill>
      </fill>
    </dxf>
    <dxf>
      <font>
        <b/>
        <sz val="11"/>
        <color rgb="FFFFFFFF"/>
        <name val="Arial"/>
        <charset val="1"/>
      </font>
      <fill>
        <patternFill>
          <bgColor rgb="FF70AD47"/>
        </patternFill>
      </fill>
    </dxf>
    <dxf>
      <font>
        <b/>
        <sz val="11"/>
        <color rgb="FFFFFFFF"/>
        <name val="Arial"/>
        <charset val="1"/>
      </font>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7F6000"/>
      <rgbColor rgb="FF800080"/>
      <rgbColor rgb="FF1C6B5F"/>
      <rgbColor rgb="FFBFBFBF"/>
      <rgbColor rgb="FF7F7F7F"/>
      <rgbColor rgb="FF9999FF"/>
      <rgbColor rgb="FF993366"/>
      <rgbColor rgb="FFF2F2F2"/>
      <rgbColor rgb="FFD0EBE7"/>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EEAF1"/>
      <rgbColor rgb="FFC6EFCE"/>
      <rgbColor rgb="FFFFEB9C"/>
      <rgbColor rgb="FFD9D9D9"/>
      <rgbColor rgb="FFFCE4D6"/>
      <rgbColor rgb="FFE2EFDA"/>
      <rgbColor rgb="FFFFC7CE"/>
      <rgbColor rgb="FF2E75B6"/>
      <rgbColor rgb="FF33CCCC"/>
      <rgbColor rgb="FF92D050"/>
      <rgbColor rgb="FFFFD700"/>
      <rgbColor rgb="FFFF9900"/>
      <rgbColor rgb="FFFF7043"/>
      <rgbColor rgb="FF595959"/>
      <rgbColor rgb="FF70AD47"/>
      <rgbColor rgb="FF003366"/>
      <rgbColor rgb="FF00B050"/>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India_Stock_Valuation_Dashboard.xlsx" TargetMode="External"/><Relationship Id="rId3" Type="http://schemas.openxmlformats.org/officeDocument/2006/relationships/hyperlink" Target="India_Stock_Valuation_Dashboard.xlsx" TargetMode="External"/><Relationship Id="rId7" Type="http://schemas.openxmlformats.org/officeDocument/2006/relationships/hyperlink" Target="India_Stock_Valuation_Dashboard.xlsx" TargetMode="External"/><Relationship Id="rId2" Type="http://schemas.openxmlformats.org/officeDocument/2006/relationships/hyperlink" Target="India_Stock_Valuation_Dashboard.xlsx" TargetMode="External"/><Relationship Id="rId1" Type="http://schemas.openxmlformats.org/officeDocument/2006/relationships/hyperlink" Target="India_Stock_Valuation_Dashboard.xlsx" TargetMode="External"/><Relationship Id="rId6" Type="http://schemas.openxmlformats.org/officeDocument/2006/relationships/hyperlink" Target="India_Stock_Valuation_Dashboard.xlsx" TargetMode="External"/><Relationship Id="rId5" Type="http://schemas.openxmlformats.org/officeDocument/2006/relationships/hyperlink" Target="India_Stock_Valuation_Dashboard.xlsx" TargetMode="External"/><Relationship Id="rId4" Type="http://schemas.openxmlformats.org/officeDocument/2006/relationships/hyperlink" Target="India_Stock_Valuation_Dashboard.xlsx" TargetMode="External"/><Relationship Id="rId9" Type="http://schemas.openxmlformats.org/officeDocument/2006/relationships/hyperlink" Target="India_Stock_Valuation_Dashboard.xlsx"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showGridLines="0" tabSelected="1" zoomScaleNormal="100" workbookViewId="0">
      <selection sqref="A1:E1"/>
    </sheetView>
  </sheetViews>
  <sheetFormatPr defaultColWidth="8.6640625" defaultRowHeight="14.4" x14ac:dyDescent="0.3"/>
  <cols>
    <col min="1" max="1" width="4" customWidth="1"/>
    <col min="2" max="2" width="5" customWidth="1"/>
    <col min="3" max="3" width="35" customWidth="1"/>
    <col min="4" max="4" width="61.5546875" customWidth="1"/>
    <col min="5" max="5" width="21.33203125" customWidth="1"/>
  </cols>
  <sheetData>
    <row r="1" spans="1:5" ht="39.75" customHeight="1" x14ac:dyDescent="0.3">
      <c r="A1" s="193" t="s">
        <v>0</v>
      </c>
      <c r="B1" s="193"/>
      <c r="C1" s="193"/>
      <c r="D1" s="193"/>
      <c r="E1" s="193"/>
    </row>
    <row r="2" spans="1:5" ht="21.75" customHeight="1" x14ac:dyDescent="0.3">
      <c r="A2" s="194" t="s">
        <v>347</v>
      </c>
      <c r="B2" s="194"/>
      <c r="C2" s="194"/>
      <c r="D2" s="194"/>
      <c r="E2" s="194"/>
    </row>
    <row r="4" spans="1:5" ht="21.75" customHeight="1" x14ac:dyDescent="0.3">
      <c r="B4" s="1"/>
      <c r="C4" s="1" t="s">
        <v>1</v>
      </c>
      <c r="D4" s="1" t="s">
        <v>2</v>
      </c>
    </row>
    <row r="5" spans="1:5" ht="21.75" customHeight="1" x14ac:dyDescent="0.3">
      <c r="B5" s="2" t="s">
        <v>3</v>
      </c>
      <c r="C5" s="3" t="s">
        <v>4</v>
      </c>
      <c r="D5" s="4" t="s">
        <v>5</v>
      </c>
    </row>
    <row r="6" spans="1:5" ht="21.75" customHeight="1" x14ac:dyDescent="0.3">
      <c r="B6" s="5" t="s">
        <v>6</v>
      </c>
      <c r="C6" s="6" t="s">
        <v>7</v>
      </c>
      <c r="D6" s="7" t="s">
        <v>8</v>
      </c>
    </row>
    <row r="7" spans="1:5" ht="21.75" customHeight="1" x14ac:dyDescent="0.3">
      <c r="B7" s="2" t="s">
        <v>9</v>
      </c>
      <c r="C7" s="3" t="s">
        <v>10</v>
      </c>
      <c r="D7" s="4" t="s">
        <v>11</v>
      </c>
    </row>
    <row r="8" spans="1:5" ht="21.75" customHeight="1" x14ac:dyDescent="0.3">
      <c r="B8" s="5" t="s">
        <v>12</v>
      </c>
      <c r="C8" s="6" t="s">
        <v>13</v>
      </c>
      <c r="D8" s="7" t="s">
        <v>14</v>
      </c>
    </row>
    <row r="9" spans="1:5" ht="21.75" customHeight="1" x14ac:dyDescent="0.3">
      <c r="B9" s="2" t="s">
        <v>15</v>
      </c>
      <c r="C9" s="3" t="s">
        <v>16</v>
      </c>
      <c r="D9" s="4" t="s">
        <v>17</v>
      </c>
    </row>
    <row r="10" spans="1:5" ht="21.75" customHeight="1" x14ac:dyDescent="0.3">
      <c r="B10" s="5" t="s">
        <v>18</v>
      </c>
      <c r="C10" s="6" t="s">
        <v>19</v>
      </c>
      <c r="D10" s="7" t="s">
        <v>14</v>
      </c>
    </row>
    <row r="11" spans="1:5" ht="21.75" customHeight="1" x14ac:dyDescent="0.3">
      <c r="B11" s="2" t="s">
        <v>20</v>
      </c>
      <c r="C11" s="3" t="s">
        <v>21</v>
      </c>
      <c r="D11" s="4" t="s">
        <v>22</v>
      </c>
    </row>
    <row r="12" spans="1:5" ht="21.75" customHeight="1" x14ac:dyDescent="0.3">
      <c r="B12" s="5" t="s">
        <v>23</v>
      </c>
      <c r="C12" s="6" t="s">
        <v>24</v>
      </c>
      <c r="D12" s="7" t="s">
        <v>25</v>
      </c>
    </row>
    <row r="13" spans="1:5" ht="21.75" customHeight="1" x14ac:dyDescent="0.3">
      <c r="B13" s="2" t="s">
        <v>26</v>
      </c>
      <c r="C13" s="3" t="s">
        <v>27</v>
      </c>
      <c r="D13" s="4" t="s">
        <v>28</v>
      </c>
    </row>
    <row r="15" spans="1:5" ht="21.75" customHeight="1" x14ac:dyDescent="0.3">
      <c r="B15" s="195" t="s">
        <v>29</v>
      </c>
      <c r="C15" s="195"/>
      <c r="D15" s="195"/>
    </row>
    <row r="16" spans="1:5" ht="19.5" customHeight="1" x14ac:dyDescent="0.3">
      <c r="B16" s="172" t="s">
        <v>30</v>
      </c>
      <c r="C16" s="8" t="s">
        <v>357</v>
      </c>
      <c r="D16" s="9"/>
    </row>
    <row r="17" spans="2:4" ht="19.5" customHeight="1" x14ac:dyDescent="0.3">
      <c r="B17" s="10" t="s">
        <v>30</v>
      </c>
      <c r="C17" s="11" t="s">
        <v>31</v>
      </c>
      <c r="D17" s="9"/>
    </row>
    <row r="18" spans="2:4" ht="19.5" customHeight="1" x14ac:dyDescent="0.3">
      <c r="B18" s="12" t="s">
        <v>30</v>
      </c>
      <c r="C18" s="11" t="s">
        <v>32</v>
      </c>
      <c r="D18" s="9"/>
    </row>
    <row r="19" spans="2:4" ht="19.5" customHeight="1" x14ac:dyDescent="0.3">
      <c r="B19" s="13" t="s">
        <v>30</v>
      </c>
      <c r="C19" s="11" t="s">
        <v>33</v>
      </c>
      <c r="D19" s="9"/>
    </row>
  </sheetData>
  <mergeCells count="3">
    <mergeCell ref="A1:E1"/>
    <mergeCell ref="A2:E2"/>
    <mergeCell ref="B15:D15"/>
  </mergeCells>
  <hyperlinks>
    <hyperlink ref="C5" r:id="rId1" location="'Banking%20&amp;%20NBFC'!A1" xr:uid="{00000000-0004-0000-0000-000000000000}"/>
    <hyperlink ref="C6" r:id="rId2" location="'IT%20&amp;%20Technology'!A1" xr:uid="{00000000-0004-0000-0000-000001000000}"/>
    <hyperlink ref="C7" r:id="rId3" location="'Pharmaceuticals'!A1" xr:uid="{00000000-0004-0000-0000-000002000000}"/>
    <hyperlink ref="C8" r:id="rId4" location="'Automobiles'!A1" xr:uid="{00000000-0004-0000-0000-000003000000}"/>
    <hyperlink ref="C9" r:id="rId5" location="'FMCG%20&amp;%20Consumer'!A1" xr:uid="{00000000-0004-0000-0000-000004000000}"/>
    <hyperlink ref="C10" r:id="rId6" location="'Energy%20&amp;%20Oil'!A1" xr:uid="{00000000-0004-0000-0000-000005000000}"/>
    <hyperlink ref="C11" r:id="rId7" location="'Infrastructure'!A1" xr:uid="{00000000-0004-0000-0000-000006000000}"/>
    <hyperlink ref="C12" r:id="rId8" location="'Metals%20&amp;%20Mining'!A1" xr:uid="{00000000-0004-0000-0000-000007000000}"/>
    <hyperlink ref="C13" r:id="rId9" location="'Telecom'!A1" xr:uid="{00000000-0004-0000-0000-000008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8"/>
  <sheetViews>
    <sheetView showGridLines="0" topLeftCell="A68" zoomScaleNormal="100" workbookViewId="0">
      <selection activeCell="B10" sqref="B10 B22 B24"/>
    </sheetView>
  </sheetViews>
  <sheetFormatPr defaultColWidth="8.6640625" defaultRowHeight="14.4" x14ac:dyDescent="0.3"/>
  <cols>
    <col min="1" max="1" width="54.6640625" bestFit="1" customWidth="1"/>
    <col min="2" max="2" width="26.77734375" customWidth="1"/>
    <col min="3" max="3" width="27.77734375" customWidth="1"/>
  </cols>
  <sheetData>
    <row r="1" spans="1:3" ht="31.5" customHeight="1" x14ac:dyDescent="0.3">
      <c r="A1" s="206" t="s">
        <v>34</v>
      </c>
      <c r="B1" s="206"/>
      <c r="C1" s="206"/>
    </row>
    <row r="2" spans="1:3" ht="27.75" customHeight="1" x14ac:dyDescent="0.3">
      <c r="A2" s="207" t="s">
        <v>348</v>
      </c>
      <c r="B2" s="207"/>
      <c r="C2" s="207"/>
    </row>
    <row r="3" spans="1:3" ht="7.5" customHeight="1" x14ac:dyDescent="0.3"/>
    <row r="4" spans="1:3" ht="19.5" customHeight="1" x14ac:dyDescent="0.3">
      <c r="A4" s="208" t="s">
        <v>35</v>
      </c>
      <c r="B4" s="208"/>
      <c r="C4" s="208"/>
    </row>
    <row r="5" spans="1:3" ht="18" customHeight="1" x14ac:dyDescent="0.3">
      <c r="A5" s="179" t="s">
        <v>36</v>
      </c>
      <c r="B5" s="180" t="s">
        <v>37</v>
      </c>
      <c r="C5" s="181"/>
    </row>
    <row r="6" spans="1:3" ht="18" customHeight="1" x14ac:dyDescent="0.3">
      <c r="A6" s="179" t="s">
        <v>38</v>
      </c>
      <c r="B6" s="182">
        <v>1800</v>
      </c>
      <c r="C6" s="181" t="s">
        <v>39</v>
      </c>
    </row>
    <row r="7" spans="1:3" ht="18" customHeight="1" x14ac:dyDescent="0.3">
      <c r="A7" s="179" t="s">
        <v>40</v>
      </c>
      <c r="B7" s="183">
        <v>750</v>
      </c>
      <c r="C7" s="181" t="s">
        <v>41</v>
      </c>
    </row>
    <row r="8" spans="1:3" ht="18" customHeight="1" x14ac:dyDescent="0.3">
      <c r="A8" s="179" t="s">
        <v>42</v>
      </c>
      <c r="B8" s="182">
        <v>500</v>
      </c>
      <c r="C8" s="181" t="s">
        <v>39</v>
      </c>
    </row>
    <row r="9" spans="1:3" ht="18" customHeight="1" x14ac:dyDescent="0.3">
      <c r="A9" s="179" t="s">
        <v>43</v>
      </c>
      <c r="B9" s="182">
        <v>80</v>
      </c>
      <c r="C9" s="181" t="s">
        <v>39</v>
      </c>
    </row>
    <row r="10" spans="1:3" ht="18" customHeight="1" x14ac:dyDescent="0.3">
      <c r="A10" s="179" t="s">
        <v>44</v>
      </c>
      <c r="B10" s="182">
        <v>19</v>
      </c>
      <c r="C10" s="181" t="s">
        <v>39</v>
      </c>
    </row>
    <row r="11" spans="1:3" ht="7.5" customHeight="1" x14ac:dyDescent="0.3"/>
    <row r="12" spans="1:3" ht="19.5" customHeight="1" x14ac:dyDescent="0.3">
      <c r="A12" s="199" t="s">
        <v>45</v>
      </c>
      <c r="B12" s="199"/>
      <c r="C12" s="199"/>
    </row>
    <row r="13" spans="1:3" ht="18" customHeight="1" x14ac:dyDescent="0.3">
      <c r="A13" s="14" t="s">
        <v>46</v>
      </c>
      <c r="B13" s="176">
        <v>0.17</v>
      </c>
      <c r="C13" s="15" t="s">
        <v>47</v>
      </c>
    </row>
    <row r="14" spans="1:3" ht="18" customHeight="1" x14ac:dyDescent="0.3">
      <c r="A14" s="14" t="s">
        <v>48</v>
      </c>
      <c r="B14" s="176">
        <v>1.7999999999999999E-2</v>
      </c>
      <c r="C14" s="15" t="s">
        <v>47</v>
      </c>
    </row>
    <row r="15" spans="1:3" ht="18" customHeight="1" x14ac:dyDescent="0.3">
      <c r="A15" s="14" t="s">
        <v>49</v>
      </c>
      <c r="B15" s="176">
        <v>4.2000000000000003E-2</v>
      </c>
      <c r="C15" s="15" t="s">
        <v>47</v>
      </c>
    </row>
    <row r="16" spans="1:3" ht="18" customHeight="1" x14ac:dyDescent="0.3">
      <c r="A16" s="14" t="s">
        <v>50</v>
      </c>
      <c r="B16" s="176">
        <v>1.2999999999999999E-2</v>
      </c>
      <c r="C16" s="15" t="s">
        <v>47</v>
      </c>
    </row>
    <row r="17" spans="1:3" ht="18" customHeight="1" x14ac:dyDescent="0.3">
      <c r="A17" s="14" t="s">
        <v>51</v>
      </c>
      <c r="B17" s="176">
        <v>3.0000000000000001E-3</v>
      </c>
      <c r="C17" s="15" t="s">
        <v>47</v>
      </c>
    </row>
    <row r="18" spans="1:3" ht="18" customHeight="1" x14ac:dyDescent="0.3">
      <c r="A18" s="14" t="s">
        <v>52</v>
      </c>
      <c r="B18" s="176">
        <v>0.42</v>
      </c>
      <c r="C18" s="15" t="s">
        <v>47</v>
      </c>
    </row>
    <row r="19" spans="1:3" ht="18" customHeight="1" x14ac:dyDescent="0.3">
      <c r="A19" s="14" t="s">
        <v>53</v>
      </c>
      <c r="B19" s="176">
        <v>0.185</v>
      </c>
      <c r="C19" s="15" t="s">
        <v>47</v>
      </c>
    </row>
    <row r="20" spans="1:3" ht="7.5" customHeight="1" x14ac:dyDescent="0.3"/>
    <row r="21" spans="1:3" ht="19.5" customHeight="1" x14ac:dyDescent="0.3">
      <c r="A21" s="199" t="s">
        <v>54</v>
      </c>
      <c r="B21" s="199"/>
      <c r="C21" s="199"/>
    </row>
    <row r="22" spans="1:3" ht="18" customHeight="1" x14ac:dyDescent="0.3">
      <c r="A22" s="14" t="s">
        <v>55</v>
      </c>
      <c r="B22" s="176">
        <v>0.12</v>
      </c>
      <c r="C22" s="15" t="s">
        <v>47</v>
      </c>
    </row>
    <row r="23" spans="1:3" ht="18" customHeight="1" x14ac:dyDescent="0.3">
      <c r="A23" s="14" t="s">
        <v>56</v>
      </c>
      <c r="B23" s="176">
        <v>0.06</v>
      </c>
      <c r="C23" s="15" t="s">
        <v>47</v>
      </c>
    </row>
    <row r="24" spans="1:3" ht="18" customHeight="1" x14ac:dyDescent="0.3">
      <c r="A24" s="14" t="s">
        <v>57</v>
      </c>
      <c r="B24" s="176">
        <v>7.0000000000000007E-2</v>
      </c>
      <c r="C24" s="15" t="s">
        <v>47</v>
      </c>
    </row>
    <row r="25" spans="1:3" ht="7.5" customHeight="1" x14ac:dyDescent="0.3"/>
    <row r="26" spans="1:3" ht="19.5" customHeight="1" x14ac:dyDescent="0.3">
      <c r="A26" s="205" t="s">
        <v>58</v>
      </c>
      <c r="B26" s="205"/>
      <c r="C26" s="205"/>
    </row>
    <row r="27" spans="1:3" ht="18" customHeight="1" x14ac:dyDescent="0.3">
      <c r="A27" s="14" t="s">
        <v>59</v>
      </c>
      <c r="B27" s="177">
        <v>3.5</v>
      </c>
      <c r="C27" s="15" t="s">
        <v>60</v>
      </c>
    </row>
    <row r="28" spans="1:3" ht="18" customHeight="1" x14ac:dyDescent="0.3">
      <c r="A28" s="16" t="s">
        <v>61</v>
      </c>
      <c r="B28" s="17">
        <f>IFERROR(B27*B8,"")</f>
        <v>1750</v>
      </c>
      <c r="C28" s="18" t="s">
        <v>39</v>
      </c>
    </row>
    <row r="29" spans="1:3" ht="18" customHeight="1" x14ac:dyDescent="0.3">
      <c r="A29" s="19" t="s">
        <v>62</v>
      </c>
      <c r="B29" s="20">
        <f>IFERROR((B28-B6)/B6,"")</f>
        <v>-2.7777777777777776E-2</v>
      </c>
      <c r="C29" s="21" t="s">
        <v>47</v>
      </c>
    </row>
    <row r="30" spans="1:3" ht="7.5" customHeight="1" x14ac:dyDescent="0.3"/>
    <row r="31" spans="1:3" ht="19.5" customHeight="1" x14ac:dyDescent="0.3">
      <c r="A31" s="205" t="s">
        <v>63</v>
      </c>
      <c r="B31" s="205"/>
      <c r="C31" s="205"/>
    </row>
    <row r="32" spans="1:3" ht="18" customHeight="1" x14ac:dyDescent="0.3">
      <c r="A32" s="16" t="s">
        <v>64</v>
      </c>
      <c r="B32" s="22">
        <f>IFERROR((B13-B23)/(B22-B23),"")</f>
        <v>1.8333333333333337</v>
      </c>
      <c r="C32" s="18" t="s">
        <v>60</v>
      </c>
    </row>
    <row r="33" spans="1:3" ht="18" customHeight="1" x14ac:dyDescent="0.3">
      <c r="A33" s="16" t="s">
        <v>65</v>
      </c>
      <c r="B33" s="17">
        <f>IFERROR(B32*B8,"")</f>
        <v>916.66666666666686</v>
      </c>
      <c r="C33" s="18" t="s">
        <v>39</v>
      </c>
    </row>
    <row r="34" spans="1:3" ht="18" customHeight="1" x14ac:dyDescent="0.3">
      <c r="A34" s="19" t="s">
        <v>62</v>
      </c>
      <c r="B34" s="20">
        <f>IFERROR((B33-B6)/B6,"")</f>
        <v>-0.49074074074074064</v>
      </c>
      <c r="C34" s="21" t="s">
        <v>47</v>
      </c>
    </row>
    <row r="35" spans="1:3" ht="7.5" customHeight="1" x14ac:dyDescent="0.3"/>
    <row r="36" spans="1:3" ht="19.5" customHeight="1" x14ac:dyDescent="0.3">
      <c r="A36" s="205" t="s">
        <v>66</v>
      </c>
      <c r="B36" s="205"/>
      <c r="C36" s="205"/>
    </row>
    <row r="37" spans="1:3" ht="18" customHeight="1" x14ac:dyDescent="0.3">
      <c r="A37" s="14" t="s">
        <v>67</v>
      </c>
      <c r="B37" s="177">
        <v>22</v>
      </c>
      <c r="C37" s="15" t="s">
        <v>60</v>
      </c>
    </row>
    <row r="38" spans="1:3" ht="18" customHeight="1" x14ac:dyDescent="0.3">
      <c r="A38" s="16" t="s">
        <v>68</v>
      </c>
      <c r="B38" s="17">
        <f>IFERROR(B37*B9,"")</f>
        <v>1760</v>
      </c>
      <c r="C38" s="18" t="s">
        <v>39</v>
      </c>
    </row>
    <row r="39" spans="1:3" ht="18" customHeight="1" x14ac:dyDescent="0.3">
      <c r="A39" s="19" t="s">
        <v>62</v>
      </c>
      <c r="B39" s="20">
        <f>IFERROR((B38-B6)/B6,"")</f>
        <v>-2.2222222222222223E-2</v>
      </c>
      <c r="C39" s="21" t="s">
        <v>47</v>
      </c>
    </row>
    <row r="40" spans="1:3" ht="7.5" customHeight="1" x14ac:dyDescent="0.3"/>
    <row r="41" spans="1:3" ht="19.5" customHeight="1" x14ac:dyDescent="0.3">
      <c r="A41" s="205" t="s">
        <v>69</v>
      </c>
      <c r="B41" s="205"/>
      <c r="C41" s="205"/>
    </row>
    <row r="42" spans="1:3" ht="18" customHeight="1" x14ac:dyDescent="0.3">
      <c r="A42" s="16" t="s">
        <v>70</v>
      </c>
      <c r="B42" s="17">
        <f>IFERROR(B10/(B22-B24),"")</f>
        <v>380.00000000000006</v>
      </c>
      <c r="C42" s="18" t="s">
        <v>39</v>
      </c>
    </row>
    <row r="43" spans="1:3" ht="18" customHeight="1" x14ac:dyDescent="0.3">
      <c r="A43" s="19" t="s">
        <v>62</v>
      </c>
      <c r="B43" s="20">
        <f>IFERROR((B42-B6)/B6,"")</f>
        <v>-0.78888888888888886</v>
      </c>
      <c r="C43" s="21" t="s">
        <v>47</v>
      </c>
    </row>
    <row r="44" spans="1:3" ht="7.5" customHeight="1" x14ac:dyDescent="0.3"/>
    <row r="45" spans="1:3" ht="19.5" customHeight="1" x14ac:dyDescent="0.3">
      <c r="A45" s="200" t="s">
        <v>71</v>
      </c>
      <c r="B45" s="200"/>
      <c r="C45" s="200"/>
    </row>
    <row r="46" spans="1:3" ht="19.5" customHeight="1" x14ac:dyDescent="0.3">
      <c r="A46" s="23" t="s">
        <v>38</v>
      </c>
      <c r="B46" s="24">
        <f>B6</f>
        <v>1800</v>
      </c>
      <c r="C46" s="25" t="s">
        <v>39</v>
      </c>
    </row>
    <row r="47" spans="1:3" ht="19.5" customHeight="1" x14ac:dyDescent="0.3">
      <c r="A47" s="23" t="s">
        <v>72</v>
      </c>
      <c r="B47" s="24">
        <f>IFERROR(B28,"")</f>
        <v>1750</v>
      </c>
      <c r="C47" s="25" t="s">
        <v>39</v>
      </c>
    </row>
    <row r="48" spans="1:3" ht="19.5" customHeight="1" x14ac:dyDescent="0.3">
      <c r="A48" s="23" t="s">
        <v>73</v>
      </c>
      <c r="B48" s="24">
        <f>IFERROR(B33,"")</f>
        <v>916.66666666666686</v>
      </c>
      <c r="C48" s="25" t="s">
        <v>39</v>
      </c>
    </row>
    <row r="49" spans="1:3" ht="19.5" customHeight="1" x14ac:dyDescent="0.3">
      <c r="A49" s="23" t="s">
        <v>74</v>
      </c>
      <c r="B49" s="24">
        <f>IFERROR(B38,"")</f>
        <v>1760</v>
      </c>
      <c r="C49" s="25" t="s">
        <v>39</v>
      </c>
    </row>
    <row r="50" spans="1:3" ht="19.5" customHeight="1" x14ac:dyDescent="0.3">
      <c r="A50" s="23" t="s">
        <v>75</v>
      </c>
      <c r="B50" s="24">
        <f>IFERROR(B42,"")</f>
        <v>380.00000000000006</v>
      </c>
      <c r="C50" s="25" t="s">
        <v>39</v>
      </c>
    </row>
    <row r="51" spans="1:3" ht="19.5" customHeight="1" x14ac:dyDescent="0.3">
      <c r="A51" s="26" t="s">
        <v>76</v>
      </c>
      <c r="B51" s="27">
        <f>IFERROR(AVERAGE(B47:B50),"")</f>
        <v>1201.6666666666667</v>
      </c>
      <c r="C51" s="28" t="s">
        <v>39</v>
      </c>
    </row>
    <row r="52" spans="1:3" ht="19.5" customHeight="1" x14ac:dyDescent="0.3">
      <c r="A52" s="26" t="s">
        <v>77</v>
      </c>
      <c r="B52" s="29">
        <f>IFERROR((B51-B6)/B6,"")</f>
        <v>-0.33240740740740737</v>
      </c>
      <c r="C52" s="28" t="s">
        <v>47</v>
      </c>
    </row>
    <row r="53" spans="1:3" ht="7.5" customHeight="1" x14ac:dyDescent="0.3"/>
    <row r="54" spans="1:3" ht="19.5" customHeight="1" x14ac:dyDescent="0.3">
      <c r="A54" s="199" t="s">
        <v>78</v>
      </c>
      <c r="B54" s="199"/>
      <c r="C54" s="199"/>
    </row>
    <row r="55" spans="1:3" ht="18" customHeight="1" x14ac:dyDescent="0.3">
      <c r="A55" s="16" t="s">
        <v>79</v>
      </c>
      <c r="B55" s="30">
        <f>IFERROR(B6*B7,"")</f>
        <v>1350000</v>
      </c>
      <c r="C55" s="18" t="s">
        <v>80</v>
      </c>
    </row>
    <row r="56" spans="1:3" ht="18" customHeight="1" x14ac:dyDescent="0.3">
      <c r="A56" s="16" t="s">
        <v>81</v>
      </c>
      <c r="B56" s="22">
        <f>IFERROR(B6/B8,"")</f>
        <v>3.6</v>
      </c>
      <c r="C56" s="18" t="s">
        <v>60</v>
      </c>
    </row>
    <row r="57" spans="1:3" ht="18" customHeight="1" x14ac:dyDescent="0.3">
      <c r="A57" s="16" t="s">
        <v>82</v>
      </c>
      <c r="B57" s="22">
        <f>IFERROR(B6/B9,"")</f>
        <v>22.5</v>
      </c>
      <c r="C57" s="18" t="s">
        <v>60</v>
      </c>
    </row>
    <row r="58" spans="1:3" ht="18" customHeight="1" x14ac:dyDescent="0.3">
      <c r="A58" s="16" t="s">
        <v>83</v>
      </c>
      <c r="B58" s="31">
        <f>IFERROR(B10/B6,"")</f>
        <v>1.0555555555555556E-2</v>
      </c>
      <c r="C58" s="18" t="s">
        <v>47</v>
      </c>
    </row>
    <row r="60" spans="1:3" ht="33.75" customHeight="1" x14ac:dyDescent="0.3">
      <c r="A60" s="203" t="s">
        <v>84</v>
      </c>
      <c r="B60" s="203"/>
      <c r="C60" s="203"/>
    </row>
    <row r="61" spans="1:3" ht="24" customHeight="1" x14ac:dyDescent="0.3">
      <c r="A61" s="204" t="s">
        <v>85</v>
      </c>
      <c r="B61" s="204"/>
      <c r="C61" s="204"/>
    </row>
    <row r="62" spans="1:3" ht="7.5" customHeight="1" x14ac:dyDescent="0.3"/>
    <row r="63" spans="1:3" ht="19.5" customHeight="1" x14ac:dyDescent="0.3">
      <c r="A63" s="199" t="s">
        <v>86</v>
      </c>
      <c r="B63" s="199"/>
      <c r="C63" s="199"/>
    </row>
    <row r="64" spans="1:3" ht="18" customHeight="1" x14ac:dyDescent="0.3">
      <c r="A64" s="11" t="s">
        <v>38</v>
      </c>
      <c r="B64" s="32">
        <f>B6</f>
        <v>1800</v>
      </c>
      <c r="C64" s="33" t="s">
        <v>39</v>
      </c>
    </row>
    <row r="65" spans="1:3" ht="18" customHeight="1" x14ac:dyDescent="0.3">
      <c r="A65" s="11" t="s">
        <v>76</v>
      </c>
      <c r="B65" s="32">
        <f>B51</f>
        <v>1201.6666666666667</v>
      </c>
      <c r="C65" s="33" t="s">
        <v>39</v>
      </c>
    </row>
    <row r="66" spans="1:3" ht="19.5" customHeight="1" x14ac:dyDescent="0.3">
      <c r="A66" s="34" t="s">
        <v>87</v>
      </c>
      <c r="B66" s="35">
        <f>B52</f>
        <v>-0.33240740740740737</v>
      </c>
      <c r="C66" s="36" t="s">
        <v>47</v>
      </c>
    </row>
    <row r="67" spans="1:3" ht="7.5" customHeight="1" x14ac:dyDescent="0.3"/>
    <row r="68" spans="1:3" ht="19.5" customHeight="1" x14ac:dyDescent="0.3">
      <c r="A68" s="199" t="s">
        <v>88</v>
      </c>
      <c r="B68" s="199"/>
      <c r="C68" s="199"/>
    </row>
    <row r="69" spans="1:3" ht="21.75" customHeight="1" x14ac:dyDescent="0.3">
      <c r="A69" s="11" t="s">
        <v>89</v>
      </c>
      <c r="B69" s="37" t="str">
        <f>IF(B29="","— Enter Data —",IF(B29&gt;0.2,"STRONG BUY",IF(B29&gt;0.1,"BUY",IF(B29&gt;=-0.1,"HOLD",IF(B29&gt;=-0.2,"SELL","STRONG SELL")))))</f>
        <v>HOLD</v>
      </c>
      <c r="C69" s="38"/>
    </row>
    <row r="70" spans="1:3" ht="21.75" customHeight="1" x14ac:dyDescent="0.3">
      <c r="A70" s="11" t="s">
        <v>90</v>
      </c>
      <c r="B70" s="37" t="str">
        <f>IF(B34="","— Enter Data —",IF(B34&gt;0.2,"STRONG BUY",IF(B34&gt;0.1,"BUY",IF(B34&gt;=-0.1,"HOLD",IF(B34&gt;=-0.2,"SELL","STRONG SELL")))))</f>
        <v>STRONG SELL</v>
      </c>
      <c r="C70" s="38"/>
    </row>
    <row r="71" spans="1:3" ht="21.75" customHeight="1" x14ac:dyDescent="0.3">
      <c r="A71" s="11" t="s">
        <v>91</v>
      </c>
      <c r="B71" s="37" t="str">
        <f>IF(B39="","— Enter Data —",IF(B39&gt;0.2,"STRONG BUY",IF(B39&gt;0.1,"BUY",IF(B39&gt;=-0.1,"HOLD",IF(B39&gt;=-0.2,"SELL","STRONG SELL")))))</f>
        <v>HOLD</v>
      </c>
      <c r="C71" s="38"/>
    </row>
    <row r="72" spans="1:3" ht="21.75" customHeight="1" x14ac:dyDescent="0.3">
      <c r="A72" s="11" t="s">
        <v>92</v>
      </c>
      <c r="B72" s="37" t="str">
        <f>IF(B43="","— Enter Data —",IF(B43&gt;0.2,"STRONG BUY",IF(B43&gt;0.1,"BUY",IF(B43&gt;=-0.1,"HOLD",IF(B43&gt;=-0.2,"SELL","STRONG SELL")))))</f>
        <v>STRONG SELL</v>
      </c>
      <c r="C72" s="38"/>
    </row>
    <row r="73" spans="1:3" ht="7.5" customHeight="1" x14ac:dyDescent="0.3"/>
    <row r="74" spans="1:3" ht="19.5" customHeight="1" x14ac:dyDescent="0.3">
      <c r="A74" s="199" t="s">
        <v>93</v>
      </c>
      <c r="B74" s="199"/>
      <c r="C74" s="199"/>
    </row>
    <row r="75" spans="1:3" ht="18" customHeight="1" x14ac:dyDescent="0.3">
      <c r="A75" s="11" t="s">
        <v>94</v>
      </c>
      <c r="B75" s="39">
        <f>COUNTIF(B69,"*BUY*")+COUNTIF(B70,"*BUY*")+COUNTIF(B71,"*BUY*")+COUNTIF(B72,"*BUY*")</f>
        <v>0</v>
      </c>
      <c r="C75" s="33" t="s">
        <v>95</v>
      </c>
    </row>
    <row r="76" spans="1:3" ht="18" customHeight="1" x14ac:dyDescent="0.3">
      <c r="A76" s="11" t="s">
        <v>96</v>
      </c>
      <c r="B76" s="40">
        <f>COUNTIF(B69,"HOLD")+COUNTIF(B70,"HOLD")+COUNTIF(B71,"HOLD")+COUNTIF(B72,"HOLD")</f>
        <v>2</v>
      </c>
      <c r="C76" s="33" t="s">
        <v>95</v>
      </c>
    </row>
    <row r="77" spans="1:3" ht="18" customHeight="1" x14ac:dyDescent="0.3">
      <c r="A77" s="11" t="s">
        <v>97</v>
      </c>
      <c r="B77" s="41">
        <f>COUNTIF(B69,"*SELL*")+COUNTIF(B70,"*SELL*")+COUNTIF(B71,"*SELL*")+COUNTIF(B72,"*SELL*")</f>
        <v>2</v>
      </c>
      <c r="C77" s="33" t="s">
        <v>95</v>
      </c>
    </row>
    <row r="78" spans="1:3" ht="9.75" customHeight="1" x14ac:dyDescent="0.3"/>
    <row r="79" spans="1:3" ht="19.5" customHeight="1" x14ac:dyDescent="0.3">
      <c r="A79" s="200" t="s">
        <v>98</v>
      </c>
      <c r="B79" s="200"/>
      <c r="C79" s="200"/>
    </row>
    <row r="80" spans="1:3" ht="37.5" customHeight="1" x14ac:dyDescent="0.3">
      <c r="A80" s="42" t="s">
        <v>99</v>
      </c>
      <c r="B80" s="43" t="str">
        <f>IF(B52="","— Enter Data —",IF(B52&gt;0.2,"STRONG BUY",IF(B52&gt;0.1,"BUY",IF(B52&gt;=-0.1,"HOLD",IF(B52&gt;=-0.2,"SELL","STRONG SELL")))))</f>
        <v>STRONG SELL</v>
      </c>
      <c r="C80" s="11"/>
    </row>
    <row r="81" spans="1:3" ht="18" customHeight="1" x14ac:dyDescent="0.3">
      <c r="A81" s="44" t="s">
        <v>100</v>
      </c>
      <c r="B81" s="45">
        <f>B52</f>
        <v>-0.33240740740740737</v>
      </c>
      <c r="C81" s="33" t="s">
        <v>101</v>
      </c>
    </row>
    <row r="82" spans="1:3" ht="6" customHeight="1" x14ac:dyDescent="0.3"/>
    <row r="83" spans="1:3" ht="36" customHeight="1" x14ac:dyDescent="0.3">
      <c r="A83" s="201" t="s">
        <v>102</v>
      </c>
      <c r="B83" s="201"/>
      <c r="C83" s="201"/>
    </row>
    <row r="86" spans="1:3" ht="33.75" customHeight="1" x14ac:dyDescent="0.3">
      <c r="A86" s="202" t="s">
        <v>103</v>
      </c>
      <c r="B86" s="202"/>
      <c r="C86" s="202"/>
    </row>
    <row r="87" spans="1:3" ht="25.5" customHeight="1" x14ac:dyDescent="0.3">
      <c r="A87" s="198" t="s">
        <v>349</v>
      </c>
      <c r="B87" s="198"/>
      <c r="C87" s="198"/>
    </row>
    <row r="88" spans="1:3" ht="7.5" customHeight="1" x14ac:dyDescent="0.3"/>
    <row r="89" spans="1:3" ht="19.5" customHeight="1" x14ac:dyDescent="0.3">
      <c r="A89" s="196" t="s">
        <v>105</v>
      </c>
      <c r="B89" s="196"/>
      <c r="C89" s="196"/>
    </row>
    <row r="90" spans="1:3" ht="19.5" customHeight="1" x14ac:dyDescent="0.3">
      <c r="A90" s="11" t="s">
        <v>106</v>
      </c>
      <c r="B90" s="178">
        <v>0.15</v>
      </c>
      <c r="C90" s="33" t="s">
        <v>107</v>
      </c>
    </row>
    <row r="91" spans="1:3" ht="19.5" customHeight="1" x14ac:dyDescent="0.3">
      <c r="A91" s="11" t="s">
        <v>108</v>
      </c>
      <c r="B91" s="178">
        <v>0.1</v>
      </c>
      <c r="C91" s="33" t="s">
        <v>109</v>
      </c>
    </row>
    <row r="92" spans="1:3" ht="7.5" customHeight="1" x14ac:dyDescent="0.3"/>
    <row r="93" spans="1:3" ht="19.5" customHeight="1" x14ac:dyDescent="0.3">
      <c r="A93" s="197" t="s">
        <v>110</v>
      </c>
      <c r="B93" s="197"/>
      <c r="C93" s="197"/>
    </row>
    <row r="94" spans="1:3" ht="18" customHeight="1" x14ac:dyDescent="0.3">
      <c r="A94" s="46" t="s">
        <v>111</v>
      </c>
      <c r="B94" s="46" t="s">
        <v>112</v>
      </c>
      <c r="C94" s="46" t="s">
        <v>113</v>
      </c>
    </row>
    <row r="95" spans="1:3" ht="25.5" customHeight="1" x14ac:dyDescent="0.3">
      <c r="A95" s="47" t="s">
        <v>114</v>
      </c>
      <c r="B95" s="48">
        <f>IFERROR(B51*(1-B90*1.5),"")</f>
        <v>931.29166666666674</v>
      </c>
      <c r="C95" s="49" t="str">
        <f>IF(OR(B6="",B95=""),"—",IF(ABS(B6-B95)/B95&lt;0.005,"  ◆  CMP IS HERE",IF(B6&lt;B95,"  ✅  BELOW — ENTRY OPEN","  ⬆  ABOVE — NOT YET")))</f>
        <v xml:space="preserve">  ⬆  ABOVE — NOT YET</v>
      </c>
    </row>
    <row r="96" spans="1:3" ht="25.5" customHeight="1" x14ac:dyDescent="0.3">
      <c r="A96" s="50" t="s">
        <v>115</v>
      </c>
      <c r="B96" s="51">
        <f>IFERROR(B51*(1-B90),"")</f>
        <v>1021.4166666666667</v>
      </c>
      <c r="C96" s="52" t="str">
        <f>IF(OR(B6="",B96=""),"—",IF(ABS(B6-B96)/B96&lt;0.005,"  ◆  CMP IS HERE",IF(B6&lt;B96,"  ✅  BELOW — ENTRY OPEN","  ⬆  ABOVE — NOT YET")))</f>
        <v xml:space="preserve">  ⬆  ABOVE — NOT YET</v>
      </c>
    </row>
    <row r="97" spans="1:3" ht="25.5" customHeight="1" x14ac:dyDescent="0.3">
      <c r="A97" s="53" t="s">
        <v>116</v>
      </c>
      <c r="B97" s="54">
        <f>IFERROR(B51*(1-B90*0.5),"")</f>
        <v>1111.5416666666667</v>
      </c>
      <c r="C97" s="55" t="str">
        <f>IF(OR(B6="",B97=""),"—",IF(ABS(B6-B97)/B97&lt;0.005,"  ◆  CMP IS HERE",IF(B6&lt;B97,"  ✅  BELOW — ENTRY OPEN","  ⬆  ABOVE — NOT YET")))</f>
        <v xml:space="preserve">  ⬆  ABOVE — NOT YET</v>
      </c>
    </row>
    <row r="98" spans="1:3" ht="25.5" customHeight="1" x14ac:dyDescent="0.3">
      <c r="A98" s="56" t="s">
        <v>117</v>
      </c>
      <c r="B98" s="57">
        <f>B51</f>
        <v>1201.6666666666667</v>
      </c>
      <c r="C98" s="58" t="str">
        <f>IF(OR(B6="",B98=""),"—",IF(ABS(B6-B98)/B98&lt;0.005,"  ◆  CMP IS HERE",IF(B6&lt;B98,"  ✅  BELOW — ENTRY OPEN","  ⬆  ABOVE — NOT YET")))</f>
        <v xml:space="preserve">  ⬆  ABOVE — NOT YET</v>
      </c>
    </row>
    <row r="99" spans="1:3" ht="25.5" customHeight="1" x14ac:dyDescent="0.3">
      <c r="A99" s="59" t="s">
        <v>118</v>
      </c>
      <c r="B99" s="60">
        <f>IFERROR(B51*1.15,"")</f>
        <v>1381.9166666666667</v>
      </c>
      <c r="C99" s="61" t="str">
        <f>IF(OR(B6="",B99=""),"—",IF(ABS(B6-B99)/B99&lt;0.005,"  ◆  CMP IS HERE",IF(B6&lt;B99,"  ✅  BELOW — ENTRY OPEN","  ⬆  ABOVE — NOT YET")))</f>
        <v xml:space="preserve">  ⬆  ABOVE — NOT YET</v>
      </c>
    </row>
    <row r="100" spans="1:3" ht="25.5" customHeight="1" x14ac:dyDescent="0.3">
      <c r="A100" s="62" t="s">
        <v>119</v>
      </c>
      <c r="B100" s="63">
        <f>IFERROR(B51*1.25,"")</f>
        <v>1502.0833333333335</v>
      </c>
      <c r="C100" s="64" t="str">
        <f>IF(OR(B6="",B100=""),"—",IF(ABS(B6-B100)/B100&lt;0.005,"  ◆  CMP IS HERE",IF(B6&lt;B100,"  ✅  BELOW — ENTRY OPEN","  ⬆  ABOVE — NOT YET")))</f>
        <v xml:space="preserve">  ⬆  ABOVE — NOT YET</v>
      </c>
    </row>
    <row r="101" spans="1:3" ht="25.5" customHeight="1" x14ac:dyDescent="0.3">
      <c r="A101" s="65" t="s">
        <v>120</v>
      </c>
      <c r="B101" s="66">
        <f>IFERROR(B95*(1-B91),"")</f>
        <v>838.16250000000014</v>
      </c>
      <c r="C101" s="67" t="str">
        <f>IF(OR(B6="",B101=""),"—",IF(ABS(B6-B101)/B101&lt;0.005,"  ◆  CMP IS HERE",IF(B6&lt;B101,"  ✅  BELOW — ENTRY OPEN","  ⬆  ABOVE — NOT YET")))</f>
        <v xml:space="preserve">  ⬆  ABOVE — NOT YET</v>
      </c>
    </row>
    <row r="102" spans="1:3" ht="25.5" customHeight="1" x14ac:dyDescent="0.3">
      <c r="A102" s="184"/>
      <c r="B102" s="185"/>
      <c r="C102" s="186"/>
    </row>
    <row r="103" spans="1:3" ht="44.4" customHeight="1" x14ac:dyDescent="0.3">
      <c r="A103" s="198" t="s">
        <v>350</v>
      </c>
      <c r="B103" s="198"/>
      <c r="C103" s="198"/>
    </row>
    <row r="104" spans="1:3" ht="7.5" customHeight="1" x14ac:dyDescent="0.3"/>
    <row r="105" spans="1:3" ht="19.5" customHeight="1" x14ac:dyDescent="0.3">
      <c r="A105" s="196" t="s">
        <v>121</v>
      </c>
      <c r="B105" s="196"/>
      <c r="C105" s="196"/>
    </row>
    <row r="106" spans="1:3" ht="19.5" customHeight="1" x14ac:dyDescent="0.3">
      <c r="A106" s="11" t="s">
        <v>122</v>
      </c>
      <c r="B106" s="68">
        <f>B6</f>
        <v>1800</v>
      </c>
      <c r="C106" s="33" t="s">
        <v>39</v>
      </c>
    </row>
    <row r="107" spans="1:3" ht="27.75" customHeight="1" x14ac:dyDescent="0.3">
      <c r="A107" s="69" t="s">
        <v>123</v>
      </c>
      <c r="B107" s="70" t="str">
        <f>IF(OR(B6="",B51=""),"Enter data above",IF(B6&lt;=B51*(1-B90*1.5),"** STRONG BUY ** Excellent Entry",IF(B6&lt;=B51*(1-B90),"BUY - Good Entry",IF(B6&lt;=B51*(1-B90*0.5),"ACCUMULATE - Reasonable Entry",IF(B6&lt;=B51,"Near Fair Value - Cautious",IF(B6&lt;=B51*1.15,"Above Fair Value - Consider Trimming",IF(B6&lt;=B51*1.25,"EXPENSIVE - Consider Exiting","OVERVALUED - Exit Now")))))))</f>
        <v>OVERVALUED - Exit Now</v>
      </c>
      <c r="C107" s="71"/>
    </row>
    <row r="108" spans="1:3" ht="7.5" customHeight="1" x14ac:dyDescent="0.3"/>
    <row r="109" spans="1:3" ht="19.5" customHeight="1" x14ac:dyDescent="0.3">
      <c r="A109" s="197" t="s">
        <v>124</v>
      </c>
      <c r="B109" s="197"/>
      <c r="C109" s="197"/>
    </row>
    <row r="110" spans="1:3" ht="19.5" customHeight="1" x14ac:dyDescent="0.3">
      <c r="A110" s="72" t="s">
        <v>125</v>
      </c>
      <c r="B110" s="73" t="s">
        <v>126</v>
      </c>
      <c r="C110" s="74"/>
    </row>
    <row r="111" spans="1:3" ht="19.5" customHeight="1" x14ac:dyDescent="0.3">
      <c r="A111" s="75" t="s">
        <v>127</v>
      </c>
      <c r="B111" s="76" t="s">
        <v>128</v>
      </c>
      <c r="C111" s="76"/>
    </row>
    <row r="112" spans="1:3" ht="19.5" customHeight="1" x14ac:dyDescent="0.3">
      <c r="A112" s="77" t="s">
        <v>129</v>
      </c>
      <c r="B112" s="78" t="s">
        <v>130</v>
      </c>
      <c r="C112" s="78"/>
    </row>
    <row r="113" spans="1:3" ht="19.5" customHeight="1" x14ac:dyDescent="0.3">
      <c r="A113" s="79" t="s">
        <v>131</v>
      </c>
      <c r="B113" s="80" t="s">
        <v>132</v>
      </c>
      <c r="C113" s="80"/>
    </row>
    <row r="114" spans="1:3" ht="19.5" customHeight="1" x14ac:dyDescent="0.3">
      <c r="A114" s="81" t="s">
        <v>133</v>
      </c>
      <c r="B114" s="82" t="s">
        <v>134</v>
      </c>
      <c r="C114" s="82"/>
    </row>
    <row r="115" spans="1:3" ht="19.5" customHeight="1" x14ac:dyDescent="0.3">
      <c r="A115" s="83" t="s">
        <v>135</v>
      </c>
      <c r="B115" s="84" t="s">
        <v>136</v>
      </c>
      <c r="C115" s="84"/>
    </row>
    <row r="116" spans="1:3" ht="19.5" customHeight="1" x14ac:dyDescent="0.3">
      <c r="A116" s="85" t="s">
        <v>137</v>
      </c>
      <c r="B116" s="86" t="s">
        <v>138</v>
      </c>
      <c r="C116" s="87"/>
    </row>
    <row r="117" spans="1:3" ht="7.5" customHeight="1" x14ac:dyDescent="0.3"/>
    <row r="118" spans="1:3" ht="43.5" customHeight="1" x14ac:dyDescent="0.3">
      <c r="A118" s="198" t="s">
        <v>139</v>
      </c>
      <c r="B118" s="198"/>
      <c r="C118" s="198"/>
    </row>
  </sheetData>
  <mergeCells count="26">
    <mergeCell ref="A1:C1"/>
    <mergeCell ref="A2:C2"/>
    <mergeCell ref="A4:C4"/>
    <mergeCell ref="A12:C12"/>
    <mergeCell ref="A21:C21"/>
    <mergeCell ref="A26:C26"/>
    <mergeCell ref="A31:C31"/>
    <mergeCell ref="A36:C36"/>
    <mergeCell ref="A41:C41"/>
    <mergeCell ref="A45:C45"/>
    <mergeCell ref="A54:C54"/>
    <mergeCell ref="A60:C60"/>
    <mergeCell ref="A61:C61"/>
    <mergeCell ref="A63:C63"/>
    <mergeCell ref="A68:C68"/>
    <mergeCell ref="A74:C74"/>
    <mergeCell ref="A79:C79"/>
    <mergeCell ref="A83:C83"/>
    <mergeCell ref="A86:C86"/>
    <mergeCell ref="A87:C87"/>
    <mergeCell ref="A89:C89"/>
    <mergeCell ref="A93:C93"/>
    <mergeCell ref="A105:C105"/>
    <mergeCell ref="A109:C109"/>
    <mergeCell ref="A118:C118"/>
    <mergeCell ref="A103:C103"/>
  </mergeCells>
  <conditionalFormatting sqref="B66">
    <cfRule type="expression" dxfId="431" priority="2">
      <formula>B52&gt;0.2</formula>
    </cfRule>
    <cfRule type="expression" dxfId="430" priority="3">
      <formula>AND(B52&gt;0.1,B52&lt;=0.2)</formula>
    </cfRule>
    <cfRule type="expression" dxfId="429" priority="4">
      <formula>AND(B52&gt;=-0.1,B52&lt;=0.1)</formula>
    </cfRule>
    <cfRule type="expression" dxfId="428" priority="5">
      <formula>AND(B52&gt;=-0.2,B52&lt;-0.1)</formula>
    </cfRule>
    <cfRule type="expression" dxfId="427" priority="6">
      <formula>B52&lt;-0.2</formula>
    </cfRule>
  </conditionalFormatting>
  <conditionalFormatting sqref="B69">
    <cfRule type="expression" dxfId="426" priority="7">
      <formula>B29&gt;0.2</formula>
    </cfRule>
    <cfRule type="expression" dxfId="425" priority="8">
      <formula>AND(B29&gt;0.1,B29&lt;=0.2)</formula>
    </cfRule>
    <cfRule type="expression" dxfId="424" priority="9">
      <formula>AND(B29&gt;=-0.1,B29&lt;=0.1)</formula>
    </cfRule>
    <cfRule type="expression" dxfId="423" priority="10">
      <formula>AND(B29&gt;=-0.2,B29&lt;-0.1)</formula>
    </cfRule>
    <cfRule type="expression" dxfId="422" priority="11">
      <formula>B29&lt;-0.2</formula>
    </cfRule>
  </conditionalFormatting>
  <conditionalFormatting sqref="B70">
    <cfRule type="expression" dxfId="421" priority="12">
      <formula>B34&gt;0.2</formula>
    </cfRule>
    <cfRule type="expression" dxfId="420" priority="13">
      <formula>AND(B34&gt;0.1,B34&lt;=0.2)</formula>
    </cfRule>
    <cfRule type="expression" dxfId="419" priority="14">
      <formula>AND(B34&gt;=-0.1,B34&lt;=0.1)</formula>
    </cfRule>
    <cfRule type="expression" dxfId="418" priority="15">
      <formula>AND(B34&gt;=-0.2,B34&lt;-0.1)</formula>
    </cfRule>
    <cfRule type="expression" dxfId="417" priority="16">
      <formula>B34&lt;-0.2</formula>
    </cfRule>
  </conditionalFormatting>
  <conditionalFormatting sqref="B71">
    <cfRule type="expression" dxfId="416" priority="17">
      <formula>B39&gt;0.2</formula>
    </cfRule>
    <cfRule type="expression" dxfId="415" priority="18">
      <formula>AND(B39&gt;0.1,B39&lt;=0.2)</formula>
    </cfRule>
    <cfRule type="expression" dxfId="414" priority="19">
      <formula>AND(B39&gt;=-0.1,B39&lt;=0.1)</formula>
    </cfRule>
    <cfRule type="expression" dxfId="413" priority="20">
      <formula>AND(B39&gt;=-0.2,B39&lt;-0.1)</formula>
    </cfRule>
    <cfRule type="expression" dxfId="412" priority="21">
      <formula>B39&lt;-0.2</formula>
    </cfRule>
  </conditionalFormatting>
  <conditionalFormatting sqref="B72">
    <cfRule type="expression" dxfId="411" priority="22">
      <formula>B43&gt;0.2</formula>
    </cfRule>
    <cfRule type="expression" dxfId="410" priority="23">
      <formula>AND(B43&gt;0.1,B43&lt;=0.2)</formula>
    </cfRule>
    <cfRule type="expression" dxfId="409" priority="24">
      <formula>AND(B43&gt;=-0.1,B43&lt;=0.1)</formula>
    </cfRule>
    <cfRule type="expression" dxfId="408" priority="25">
      <formula>AND(B43&gt;=-0.2,B43&lt;-0.1)</formula>
    </cfRule>
    <cfRule type="expression" dxfId="407" priority="26">
      <formula>B43&lt;-0.2</formula>
    </cfRule>
  </conditionalFormatting>
  <conditionalFormatting sqref="B80">
    <cfRule type="expression" dxfId="406" priority="27">
      <formula>B52&gt;0.2</formula>
    </cfRule>
    <cfRule type="expression" dxfId="405" priority="28">
      <formula>AND(B52&gt;0.1,B52&lt;=0.2)</formula>
    </cfRule>
    <cfRule type="expression" dxfId="404" priority="29">
      <formula>AND(B52&gt;=-0.1,B52&lt;=0.1)</formula>
    </cfRule>
    <cfRule type="expression" dxfId="403" priority="30">
      <formula>AND(B52&gt;=-0.2,B52&lt;-0.1)</formula>
    </cfRule>
    <cfRule type="expression" dxfId="402" priority="31">
      <formula>B52&lt;-0.2</formula>
    </cfRule>
  </conditionalFormatting>
  <conditionalFormatting sqref="B81">
    <cfRule type="expression" dxfId="401" priority="32">
      <formula>B52&gt;0.2</formula>
    </cfRule>
    <cfRule type="expression" dxfId="400" priority="33">
      <formula>AND(B52&gt;0.1,B52&lt;=0.2)</formula>
    </cfRule>
    <cfRule type="expression" dxfId="399" priority="34">
      <formula>AND(B52&gt;=-0.1,B52&lt;=0.1)</formula>
    </cfRule>
    <cfRule type="expression" dxfId="398" priority="35">
      <formula>AND(B52&gt;=-0.2,B52&lt;-0.1)</formula>
    </cfRule>
    <cfRule type="expression" dxfId="397" priority="36">
      <formula>B52&lt;-0.2</formula>
    </cfRule>
  </conditionalFormatting>
  <conditionalFormatting sqref="B107">
    <cfRule type="expression" dxfId="396" priority="54">
      <formula>B6&gt;B51*1.15</formula>
    </cfRule>
    <cfRule type="expression" dxfId="395" priority="49">
      <formula>B6&lt;=B51*(1-B90*1.5)</formula>
    </cfRule>
    <cfRule type="expression" dxfId="394" priority="50">
      <formula>AND(B6&gt;B51*(1-B90*1.5),B6&lt;=B51*(1-B90))</formula>
    </cfRule>
    <cfRule type="expression" dxfId="393" priority="51">
      <formula>AND(B6&gt;B51*(1-B90),B6&lt;=B51*(1-B90*0.5))</formula>
    </cfRule>
    <cfRule type="expression" dxfId="392" priority="52">
      <formula>AND(B6&gt;B51*(1-B90*0.5),B6&lt;=B51)</formula>
    </cfRule>
    <cfRule type="expression" dxfId="391" priority="53">
      <formula>AND(B6&gt;B51,B6&lt;=B51*1.15)</formula>
    </cfRule>
  </conditionalFormatting>
  <conditionalFormatting sqref="C95">
    <cfRule type="expression" dxfId="390" priority="37">
      <formula>B6&lt;B95</formula>
    </cfRule>
    <cfRule type="expression" dxfId="389" priority="38">
      <formula>B6&gt;=B95</formula>
    </cfRule>
  </conditionalFormatting>
  <conditionalFormatting sqref="C96">
    <cfRule type="expression" dxfId="388" priority="39">
      <formula>B6&lt;B96</formula>
    </cfRule>
    <cfRule type="expression" dxfId="387" priority="40">
      <formula>B6&gt;=B96</formula>
    </cfRule>
  </conditionalFormatting>
  <conditionalFormatting sqref="C97">
    <cfRule type="expression" dxfId="386" priority="41">
      <formula>B6&lt;B97</formula>
    </cfRule>
    <cfRule type="expression" dxfId="385" priority="42">
      <formula>B6&gt;=B97</formula>
    </cfRule>
  </conditionalFormatting>
  <conditionalFormatting sqref="C98">
    <cfRule type="expression" dxfId="384" priority="43">
      <formula>B6&lt;B98</formula>
    </cfRule>
    <cfRule type="expression" dxfId="383" priority="44">
      <formula>B6&gt;=B98</formula>
    </cfRule>
  </conditionalFormatting>
  <conditionalFormatting sqref="C99">
    <cfRule type="expression" dxfId="382" priority="45">
      <formula>B6&lt;B99</formula>
    </cfRule>
    <cfRule type="expression" dxfId="381" priority="46">
      <formula>B6&gt;=B99</formula>
    </cfRule>
  </conditionalFormatting>
  <conditionalFormatting sqref="C100">
    <cfRule type="expression" dxfId="380" priority="47">
      <formula>B6&lt;B100</formula>
    </cfRule>
    <cfRule type="expression" dxfId="379" priority="48">
      <formula>B6&gt;=B100</formula>
    </cfRule>
  </conditionalFormatting>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2"/>
  <sheetViews>
    <sheetView showGridLines="0" topLeftCell="A61" zoomScaleNormal="100" workbookViewId="0">
      <selection activeCell="A107" sqref="A107:C107"/>
    </sheetView>
  </sheetViews>
  <sheetFormatPr defaultColWidth="8.6640625" defaultRowHeight="14.4" x14ac:dyDescent="0.3"/>
  <cols>
    <col min="1" max="1" width="56" customWidth="1"/>
    <col min="2" max="2" width="29.33203125" customWidth="1"/>
    <col min="3" max="3" width="24.5546875" customWidth="1"/>
    <col min="4" max="4" width="35.5546875" customWidth="1"/>
    <col min="5" max="5" width="26.6640625" bestFit="1" customWidth="1"/>
    <col min="6" max="8" width="14" customWidth="1"/>
  </cols>
  <sheetData>
    <row r="1" spans="1:8" ht="31.5" customHeight="1" x14ac:dyDescent="0.3">
      <c r="A1" s="206" t="s">
        <v>140</v>
      </c>
      <c r="B1" s="206"/>
      <c r="C1" s="206"/>
      <c r="D1" s="206"/>
      <c r="E1" s="206"/>
      <c r="F1" s="206"/>
      <c r="G1" s="206"/>
      <c r="H1" s="206"/>
    </row>
    <row r="2" spans="1:8" ht="27.75" customHeight="1" x14ac:dyDescent="0.3">
      <c r="A2" s="216" t="s">
        <v>141</v>
      </c>
      <c r="B2" s="216"/>
      <c r="C2" s="216"/>
      <c r="D2" s="216"/>
      <c r="E2" s="216"/>
      <c r="F2" s="216"/>
      <c r="G2" s="216"/>
      <c r="H2" s="216"/>
    </row>
    <row r="3" spans="1:8" ht="7.5" customHeight="1" x14ac:dyDescent="0.3"/>
    <row r="4" spans="1:8" ht="19.5" customHeight="1" x14ac:dyDescent="0.3">
      <c r="A4" s="217" t="s">
        <v>35</v>
      </c>
      <c r="B4" s="217"/>
      <c r="C4" s="217"/>
    </row>
    <row r="5" spans="1:8" ht="18" customHeight="1" x14ac:dyDescent="0.3">
      <c r="A5" s="88" t="s">
        <v>36</v>
      </c>
      <c r="B5" s="173" t="s">
        <v>142</v>
      </c>
      <c r="C5" s="89"/>
    </row>
    <row r="6" spans="1:8" ht="18" customHeight="1" x14ac:dyDescent="0.3">
      <c r="A6" s="88" t="s">
        <v>38</v>
      </c>
      <c r="B6" s="174">
        <v>3800</v>
      </c>
      <c r="C6" s="89" t="s">
        <v>39</v>
      </c>
    </row>
    <row r="7" spans="1:8" ht="18" customHeight="1" x14ac:dyDescent="0.3">
      <c r="A7" s="88" t="s">
        <v>40</v>
      </c>
      <c r="B7" s="175">
        <v>360</v>
      </c>
      <c r="C7" s="89" t="s">
        <v>41</v>
      </c>
    </row>
    <row r="8" spans="1:8" ht="18" customHeight="1" x14ac:dyDescent="0.3">
      <c r="A8" s="88" t="s">
        <v>143</v>
      </c>
      <c r="B8" s="174">
        <v>130</v>
      </c>
      <c r="C8" s="89" t="s">
        <v>39</v>
      </c>
    </row>
    <row r="9" spans="1:8" ht="18" customHeight="1" x14ac:dyDescent="0.3">
      <c r="A9" s="88" t="s">
        <v>144</v>
      </c>
      <c r="B9" s="175">
        <v>55000</v>
      </c>
      <c r="C9" s="89" t="s">
        <v>80</v>
      </c>
    </row>
    <row r="10" spans="1:8" ht="18" customHeight="1" x14ac:dyDescent="0.3">
      <c r="A10" s="88" t="s">
        <v>145</v>
      </c>
      <c r="B10" s="175">
        <v>240000</v>
      </c>
      <c r="C10" s="89" t="s">
        <v>80</v>
      </c>
    </row>
    <row r="11" spans="1:8" ht="18" customHeight="1" x14ac:dyDescent="0.3">
      <c r="A11" s="88" t="s">
        <v>146</v>
      </c>
      <c r="B11" s="175">
        <v>0</v>
      </c>
      <c r="C11" s="89" t="s">
        <v>80</v>
      </c>
    </row>
    <row r="12" spans="1:8" ht="18" customHeight="1" x14ac:dyDescent="0.3">
      <c r="A12" s="88" t="s">
        <v>147</v>
      </c>
      <c r="B12" s="175">
        <v>58000</v>
      </c>
      <c r="C12" s="89" t="s">
        <v>80</v>
      </c>
    </row>
    <row r="13" spans="1:8" ht="7.5" customHeight="1" x14ac:dyDescent="0.3"/>
    <row r="14" spans="1:8" ht="19.5" customHeight="1" x14ac:dyDescent="0.3">
      <c r="A14" s="217" t="s">
        <v>54</v>
      </c>
      <c r="B14" s="217"/>
      <c r="C14" s="217"/>
    </row>
    <row r="15" spans="1:8" ht="18" customHeight="1" x14ac:dyDescent="0.3">
      <c r="A15" s="88" t="s">
        <v>148</v>
      </c>
      <c r="B15" s="176">
        <v>0.12</v>
      </c>
      <c r="C15" s="89" t="s">
        <v>47</v>
      </c>
    </row>
    <row r="16" spans="1:8" ht="18" customHeight="1" x14ac:dyDescent="0.3">
      <c r="A16" s="88" t="s">
        <v>149</v>
      </c>
      <c r="B16" s="176">
        <v>0.13</v>
      </c>
      <c r="C16" s="89" t="s">
        <v>47</v>
      </c>
    </row>
    <row r="17" spans="1:8" ht="18" customHeight="1" x14ac:dyDescent="0.3">
      <c r="A17" s="88" t="s">
        <v>150</v>
      </c>
      <c r="B17" s="176">
        <v>0.1</v>
      </c>
      <c r="C17" s="89" t="s">
        <v>47</v>
      </c>
    </row>
    <row r="18" spans="1:8" ht="18" customHeight="1" x14ac:dyDescent="0.3">
      <c r="A18" s="88" t="s">
        <v>151</v>
      </c>
      <c r="B18" s="176">
        <v>0.04</v>
      </c>
      <c r="C18" s="89" t="s">
        <v>47</v>
      </c>
    </row>
    <row r="19" spans="1:8" ht="18" customHeight="1" x14ac:dyDescent="0.3">
      <c r="A19" s="88" t="s">
        <v>152</v>
      </c>
      <c r="B19" s="176">
        <v>0.24</v>
      </c>
      <c r="C19" s="89" t="s">
        <v>47</v>
      </c>
    </row>
    <row r="20" spans="1:8" ht="18" customHeight="1" x14ac:dyDescent="0.3">
      <c r="A20" s="88" t="s">
        <v>153</v>
      </c>
      <c r="B20" s="176">
        <v>0.25</v>
      </c>
      <c r="C20" s="89" t="s">
        <v>47</v>
      </c>
    </row>
    <row r="21" spans="1:8" ht="18" customHeight="1" x14ac:dyDescent="0.3">
      <c r="A21" s="88" t="s">
        <v>154</v>
      </c>
      <c r="B21" s="176">
        <v>0.02</v>
      </c>
      <c r="C21" s="89" t="s">
        <v>47</v>
      </c>
    </row>
    <row r="22" spans="1:8" ht="18" customHeight="1" x14ac:dyDescent="0.3">
      <c r="A22" s="88" t="s">
        <v>155</v>
      </c>
      <c r="B22" s="176">
        <v>0.02</v>
      </c>
      <c r="C22" s="89" t="s">
        <v>47</v>
      </c>
    </row>
    <row r="23" spans="1:8" ht="18" customHeight="1" x14ac:dyDescent="0.3">
      <c r="A23" s="88" t="s">
        <v>156</v>
      </c>
      <c r="B23" s="176">
        <v>0.01</v>
      </c>
      <c r="C23" s="89" t="s">
        <v>47</v>
      </c>
    </row>
    <row r="24" spans="1:8" ht="7.5" customHeight="1" x14ac:dyDescent="0.3"/>
    <row r="25" spans="1:8" ht="19.5" customHeight="1" x14ac:dyDescent="0.3">
      <c r="A25" s="205" t="s">
        <v>157</v>
      </c>
      <c r="B25" s="205"/>
      <c r="C25" s="205"/>
      <c r="D25" s="205"/>
      <c r="E25" s="205"/>
      <c r="F25" s="205"/>
      <c r="G25" s="205"/>
      <c r="H25" s="205"/>
    </row>
    <row r="26" spans="1:8" ht="19.5" customHeight="1" x14ac:dyDescent="0.3">
      <c r="B26" s="91" t="s">
        <v>158</v>
      </c>
      <c r="C26" s="91" t="s">
        <v>159</v>
      </c>
      <c r="D26" s="91" t="s">
        <v>160</v>
      </c>
      <c r="E26" s="91" t="s">
        <v>161</v>
      </c>
      <c r="F26" s="91" t="s">
        <v>162</v>
      </c>
      <c r="G26" s="91" t="s">
        <v>163</v>
      </c>
      <c r="H26" s="91" t="s">
        <v>164</v>
      </c>
    </row>
    <row r="27" spans="1:8" ht="18" customHeight="1" x14ac:dyDescent="0.3">
      <c r="A27" s="88" t="s">
        <v>165</v>
      </c>
      <c r="B27" s="92">
        <f>B10</f>
        <v>240000</v>
      </c>
      <c r="C27" s="30">
        <f>IFERROR(B27*(1+B16),"")</f>
        <v>271200</v>
      </c>
      <c r="D27" s="30">
        <f>IFERROR(C27*(1+B16),"")</f>
        <v>306456</v>
      </c>
      <c r="E27" s="30">
        <f>IFERROR(D27*(1+B16),"")</f>
        <v>346295.27999999997</v>
      </c>
      <c r="F27" s="30">
        <f>IFERROR(E27*(1+B17),"")</f>
        <v>380924.80800000002</v>
      </c>
      <c r="G27" s="30">
        <f>IFERROR(F27*(1+B17),"")</f>
        <v>419017.28880000004</v>
      </c>
      <c r="H27" s="30"/>
    </row>
    <row r="28" spans="1:8" ht="18" customHeight="1" x14ac:dyDescent="0.3">
      <c r="A28" s="88" t="s">
        <v>166</v>
      </c>
      <c r="B28" s="92">
        <f>B9</f>
        <v>55000</v>
      </c>
      <c r="C28" s="30">
        <f>IFERROR(C27*B19,"")</f>
        <v>65088</v>
      </c>
      <c r="D28" s="30">
        <f>IFERROR(D27*B19,"")</f>
        <v>73549.440000000002</v>
      </c>
      <c r="E28" s="30">
        <f>IFERROR(E27*B19,"")</f>
        <v>83110.867199999993</v>
      </c>
      <c r="F28" s="30">
        <f>IFERROR(F27*B19,"")</f>
        <v>91421.95392</v>
      </c>
      <c r="G28" s="30">
        <f>IFERROR(G27*B19,"")</f>
        <v>100564.14931200001</v>
      </c>
      <c r="H28" s="30"/>
    </row>
    <row r="29" spans="1:8" ht="18" customHeight="1" x14ac:dyDescent="0.3">
      <c r="A29" s="88" t="s">
        <v>167</v>
      </c>
      <c r="B29" s="90"/>
      <c r="C29" s="30">
        <f>IFERROR((C28-C27*B21)*(1-B20),"")</f>
        <v>44748</v>
      </c>
      <c r="D29" s="30">
        <f>IFERROR((D28-D27*B21)*(1-B20),"")</f>
        <v>50565.240000000005</v>
      </c>
      <c r="E29" s="30">
        <f>IFERROR((E28-E27*B21)*(1-B20),"")</f>
        <v>57138.7212</v>
      </c>
      <c r="F29" s="30">
        <f>IFERROR((F28-F27*B21)*(1-B20),"")</f>
        <v>62852.59332</v>
      </c>
      <c r="G29" s="30">
        <f>IFERROR((G28-G27*B21)*(1-B20),"")</f>
        <v>69137.852652000001</v>
      </c>
      <c r="H29" s="30"/>
    </row>
    <row r="30" spans="1:8" ht="18" customHeight="1" x14ac:dyDescent="0.3">
      <c r="A30" s="88" t="s">
        <v>168</v>
      </c>
      <c r="B30" s="90"/>
      <c r="C30" s="30">
        <f>IFERROR(C29+C27*B21-C27*B22-C27*B23,"")</f>
        <v>42036</v>
      </c>
      <c r="D30" s="30">
        <f>IFERROR(D29+D27*B21-D27*B22-D27*B23,"")</f>
        <v>47500.680000000008</v>
      </c>
      <c r="E30" s="30">
        <f>IFERROR(E29+E27*B21-E27*B22-E27*B23,"")</f>
        <v>53675.768400000001</v>
      </c>
      <c r="F30" s="30">
        <f>IFERROR(F29+F27*B21-F27*B22-F27*B23,"")</f>
        <v>59043.345239999995</v>
      </c>
      <c r="G30" s="30">
        <f>IFERROR(G29+G27*B21-G27*B22-G27*B23,"")</f>
        <v>64947.679764</v>
      </c>
      <c r="H30" s="30"/>
    </row>
    <row r="31" spans="1:8" ht="18" customHeight="1" x14ac:dyDescent="0.3">
      <c r="A31" s="88" t="s">
        <v>169</v>
      </c>
      <c r="B31" s="90"/>
      <c r="C31" s="90"/>
      <c r="D31" s="90"/>
      <c r="E31" s="90"/>
      <c r="F31" s="90"/>
      <c r="G31" s="90"/>
      <c r="H31" s="93">
        <f>IFERROR(G30*(1+B18)/(B15-B18),"")</f>
        <v>844319.83693200012</v>
      </c>
    </row>
    <row r="32" spans="1:8" ht="18" customHeight="1" x14ac:dyDescent="0.3">
      <c r="A32" s="88" t="s">
        <v>170</v>
      </c>
      <c r="B32" s="90"/>
      <c r="C32" s="22">
        <f>IFERROR(1/(1+B15)^1,"")</f>
        <v>0.89285714285714279</v>
      </c>
      <c r="D32" s="22">
        <f>IFERROR(1/(1+B15)^2,"")</f>
        <v>0.79719387755102034</v>
      </c>
      <c r="E32" s="22">
        <f>IFERROR(1/(1+B15)^3,"")</f>
        <v>0.71178024781341087</v>
      </c>
      <c r="F32" s="22">
        <f>IFERROR(1/(1+B15)^4,"")</f>
        <v>0.63551807840483121</v>
      </c>
      <c r="G32" s="22">
        <f>IFERROR(1/(1+B15)^5,"")</f>
        <v>0.56742685571859919</v>
      </c>
      <c r="H32" s="22">
        <f>IFERROR(1/(1+B15)^5,"")</f>
        <v>0.56742685571859919</v>
      </c>
    </row>
    <row r="33" spans="1:8" ht="18" customHeight="1" x14ac:dyDescent="0.3">
      <c r="A33" s="88" t="s">
        <v>171</v>
      </c>
      <c r="B33" s="90"/>
      <c r="C33" s="30">
        <f>IFERROR(C30*C32,"")</f>
        <v>37532.142857142855</v>
      </c>
      <c r="D33" s="30">
        <f>IFERROR(D30*D32,"")</f>
        <v>37867.251275510207</v>
      </c>
      <c r="E33" s="30">
        <f>IFERROR(E30*E32,"")</f>
        <v>38205.351733327247</v>
      </c>
      <c r="F33" s="30">
        <f>IFERROR(F30*F32,"")</f>
        <v>37523.113309517837</v>
      </c>
      <c r="G33" s="30">
        <f>IFERROR(G30*G32,"")</f>
        <v>36853.057714705013</v>
      </c>
      <c r="H33" s="93">
        <f>IFERROR(H31*H32,"")</f>
        <v>479089.75029116526</v>
      </c>
    </row>
    <row r="34" spans="1:8" ht="19.5" customHeight="1" x14ac:dyDescent="0.3">
      <c r="A34" s="94" t="s">
        <v>172</v>
      </c>
      <c r="B34" s="95">
        <f>IFERROR(SUM(C33:H33),"")</f>
        <v>667070.66718136845</v>
      </c>
      <c r="C34" s="96" t="s">
        <v>80</v>
      </c>
      <c r="D34" s="12"/>
      <c r="E34" s="12"/>
      <c r="F34" s="12"/>
      <c r="G34" s="12"/>
      <c r="H34" s="12"/>
    </row>
    <row r="35" spans="1:8" ht="18" customHeight="1" x14ac:dyDescent="0.3">
      <c r="A35" s="97" t="s">
        <v>173</v>
      </c>
      <c r="B35" s="30">
        <f>IFERROR(B34-B11+B12,"")</f>
        <v>725070.66718136845</v>
      </c>
      <c r="C35" s="89" t="s">
        <v>80</v>
      </c>
      <c r="D35" s="10"/>
      <c r="E35" s="10"/>
      <c r="F35" s="10"/>
      <c r="G35" s="10"/>
      <c r="H35" s="10"/>
    </row>
    <row r="36" spans="1:8" ht="19.5" customHeight="1" x14ac:dyDescent="0.3">
      <c r="A36" s="98" t="s">
        <v>174</v>
      </c>
      <c r="B36" s="99">
        <f>IFERROR(B35/B7,"")</f>
        <v>2014.0851866149123</v>
      </c>
      <c r="C36" s="100" t="s">
        <v>39</v>
      </c>
      <c r="D36" s="101"/>
      <c r="E36" s="101"/>
      <c r="F36" s="101"/>
      <c r="G36" s="101"/>
      <c r="H36" s="101"/>
    </row>
    <row r="37" spans="1:8" ht="18" customHeight="1" x14ac:dyDescent="0.3">
      <c r="A37" s="102" t="s">
        <v>62</v>
      </c>
      <c r="B37" s="20">
        <f>IFERROR((B36-B6)/B6,"")</f>
        <v>-0.4699775824697599</v>
      </c>
      <c r="C37" s="103" t="s">
        <v>47</v>
      </c>
      <c r="D37" s="104"/>
      <c r="E37" s="104"/>
      <c r="F37" s="104"/>
      <c r="G37" s="104"/>
      <c r="H37" s="104"/>
    </row>
    <row r="38" spans="1:8" ht="7.5" customHeight="1" x14ac:dyDescent="0.3"/>
    <row r="39" spans="1:8" ht="19.5" customHeight="1" x14ac:dyDescent="0.3">
      <c r="A39" s="205" t="s">
        <v>175</v>
      </c>
      <c r="B39" s="205"/>
      <c r="C39" s="205"/>
      <c r="D39" s="205"/>
      <c r="E39" s="205"/>
      <c r="F39" s="205"/>
      <c r="G39" s="205"/>
      <c r="H39" s="205"/>
    </row>
    <row r="40" spans="1:8" ht="18" customHeight="1" x14ac:dyDescent="0.3">
      <c r="A40" s="88" t="s">
        <v>176</v>
      </c>
      <c r="B40" s="177">
        <v>28</v>
      </c>
      <c r="C40" s="89" t="s">
        <v>60</v>
      </c>
      <c r="D40" s="90"/>
      <c r="E40" s="90"/>
      <c r="F40" s="90"/>
      <c r="G40" s="90"/>
      <c r="H40" s="90"/>
    </row>
    <row r="41" spans="1:8" ht="18" customHeight="1" x14ac:dyDescent="0.3">
      <c r="A41" s="97" t="s">
        <v>68</v>
      </c>
      <c r="B41" s="17">
        <f>IFERROR(B40*B8,"")</f>
        <v>3640</v>
      </c>
      <c r="C41" s="89" t="s">
        <v>39</v>
      </c>
      <c r="D41" s="10"/>
      <c r="E41" s="10"/>
      <c r="F41" s="10"/>
      <c r="G41" s="10"/>
      <c r="H41" s="10"/>
    </row>
    <row r="42" spans="1:8" ht="18" customHeight="1" x14ac:dyDescent="0.3">
      <c r="A42" s="102" t="s">
        <v>62</v>
      </c>
      <c r="B42" s="20">
        <f>IFERROR((B41-B6)/B6,"")</f>
        <v>-4.2105263157894736E-2</v>
      </c>
      <c r="C42" s="89" t="s">
        <v>47</v>
      </c>
      <c r="D42" s="104"/>
      <c r="E42" s="104"/>
      <c r="F42" s="104"/>
      <c r="G42" s="104"/>
      <c r="H42" s="104"/>
    </row>
    <row r="43" spans="1:8" ht="7.5" customHeight="1" x14ac:dyDescent="0.3"/>
    <row r="44" spans="1:8" ht="19.5" customHeight="1" x14ac:dyDescent="0.3">
      <c r="A44" s="205" t="s">
        <v>177</v>
      </c>
      <c r="B44" s="205"/>
      <c r="C44" s="205"/>
      <c r="D44" s="205"/>
      <c r="E44" s="205"/>
      <c r="F44" s="205"/>
      <c r="G44" s="205"/>
      <c r="H44" s="205"/>
    </row>
    <row r="45" spans="1:8" ht="18" customHeight="1" x14ac:dyDescent="0.3">
      <c r="A45" s="88" t="s">
        <v>178</v>
      </c>
      <c r="B45" s="177">
        <v>22</v>
      </c>
      <c r="C45" s="89" t="s">
        <v>60</v>
      </c>
      <c r="D45" s="90"/>
      <c r="E45" s="90"/>
      <c r="F45" s="90"/>
      <c r="G45" s="90"/>
      <c r="H45" s="90"/>
    </row>
    <row r="46" spans="1:8" ht="18" customHeight="1" x14ac:dyDescent="0.3">
      <c r="A46" s="97" t="s">
        <v>179</v>
      </c>
      <c r="B46" s="30">
        <f>IFERROR(B45*B9,"")</f>
        <v>1210000</v>
      </c>
      <c r="C46" s="89" t="s">
        <v>80</v>
      </c>
      <c r="D46" s="10"/>
      <c r="E46" s="10"/>
      <c r="F46" s="10"/>
      <c r="G46" s="10"/>
      <c r="H46" s="10"/>
    </row>
    <row r="47" spans="1:8" ht="18" customHeight="1" x14ac:dyDescent="0.3">
      <c r="A47" s="97" t="s">
        <v>180</v>
      </c>
      <c r="B47" s="17">
        <f>IFERROR((B46-B11+B12)/B7,"")</f>
        <v>3522.2222222222222</v>
      </c>
      <c r="C47" s="89" t="s">
        <v>39</v>
      </c>
      <c r="D47" s="10"/>
      <c r="E47" s="10"/>
      <c r="F47" s="10"/>
      <c r="G47" s="10"/>
      <c r="H47" s="10"/>
    </row>
    <row r="48" spans="1:8" ht="18" customHeight="1" x14ac:dyDescent="0.3">
      <c r="A48" s="102" t="s">
        <v>62</v>
      </c>
      <c r="B48" s="20">
        <f>IFERROR((B47-B6)/B6,"")</f>
        <v>-7.3099415204678372E-2</v>
      </c>
      <c r="C48" s="89" t="s">
        <v>47</v>
      </c>
      <c r="D48" s="104"/>
      <c r="E48" s="104"/>
      <c r="F48" s="104"/>
      <c r="G48" s="104"/>
      <c r="H48" s="104"/>
    </row>
    <row r="49" spans="1:8" ht="7.5" customHeight="1" x14ac:dyDescent="0.3"/>
    <row r="50" spans="1:8" ht="19.5" customHeight="1" x14ac:dyDescent="0.3">
      <c r="A50" s="200" t="s">
        <v>71</v>
      </c>
      <c r="B50" s="200"/>
      <c r="C50" s="200"/>
      <c r="D50" s="200"/>
      <c r="E50" s="200"/>
      <c r="F50" s="200"/>
      <c r="G50" s="200"/>
      <c r="H50" s="200"/>
    </row>
    <row r="51" spans="1:8" ht="19.5" customHeight="1" x14ac:dyDescent="0.3">
      <c r="A51" s="105" t="s">
        <v>38</v>
      </c>
      <c r="B51" s="106">
        <f>B6</f>
        <v>3800</v>
      </c>
      <c r="C51" s="96" t="s">
        <v>39</v>
      </c>
      <c r="D51" s="12"/>
      <c r="E51" s="12"/>
      <c r="F51" s="12"/>
      <c r="G51" s="12"/>
      <c r="H51" s="12"/>
    </row>
    <row r="52" spans="1:8" ht="19.5" customHeight="1" x14ac:dyDescent="0.3">
      <c r="A52" s="105" t="s">
        <v>181</v>
      </c>
      <c r="B52" s="106">
        <f>IFERROR(B36,"")</f>
        <v>2014.0851866149123</v>
      </c>
      <c r="C52" s="96" t="s">
        <v>39</v>
      </c>
      <c r="D52" s="12"/>
      <c r="E52" s="12"/>
      <c r="F52" s="12"/>
      <c r="G52" s="12"/>
      <c r="H52" s="12"/>
    </row>
    <row r="53" spans="1:8" ht="19.5" customHeight="1" x14ac:dyDescent="0.3">
      <c r="A53" s="105" t="s">
        <v>182</v>
      </c>
      <c r="B53" s="106">
        <f>IFERROR(B41,"")</f>
        <v>3640</v>
      </c>
      <c r="C53" s="96" t="s">
        <v>39</v>
      </c>
      <c r="D53" s="12"/>
      <c r="E53" s="12"/>
      <c r="F53" s="12"/>
      <c r="G53" s="12"/>
      <c r="H53" s="12"/>
    </row>
    <row r="54" spans="1:8" ht="19.5" customHeight="1" x14ac:dyDescent="0.3">
      <c r="A54" s="105" t="s">
        <v>183</v>
      </c>
      <c r="B54" s="106">
        <f>IFERROR(B47,"")</f>
        <v>3522.2222222222222</v>
      </c>
      <c r="C54" s="96" t="s">
        <v>39</v>
      </c>
      <c r="D54" s="12"/>
      <c r="E54" s="12"/>
      <c r="F54" s="12"/>
      <c r="G54" s="12"/>
      <c r="H54" s="12"/>
    </row>
    <row r="55" spans="1:8" ht="19.5" customHeight="1" x14ac:dyDescent="0.3">
      <c r="A55" s="98" t="s">
        <v>76</v>
      </c>
      <c r="B55" s="99">
        <f>IFERROR(AVERAGE(B52:B54),"")</f>
        <v>3058.7691362790447</v>
      </c>
      <c r="C55" s="100" t="s">
        <v>39</v>
      </c>
      <c r="D55" s="101"/>
      <c r="E55" s="101"/>
      <c r="F55" s="101"/>
      <c r="G55" s="101"/>
      <c r="H55" s="101"/>
    </row>
    <row r="56" spans="1:8" ht="19.5" customHeight="1" x14ac:dyDescent="0.3">
      <c r="A56" s="98" t="s">
        <v>77</v>
      </c>
      <c r="B56" s="107">
        <f>IFERROR((B55-B6)/B6,"")</f>
        <v>-0.19506075361077771</v>
      </c>
      <c r="C56" s="100" t="s">
        <v>47</v>
      </c>
      <c r="D56" s="101"/>
      <c r="E56" s="101"/>
      <c r="F56" s="101"/>
      <c r="G56" s="101"/>
      <c r="H56" s="101"/>
    </row>
    <row r="57" spans="1:8" ht="7.5" customHeight="1" x14ac:dyDescent="0.3"/>
    <row r="58" spans="1:8" ht="19.5" customHeight="1" x14ac:dyDescent="0.3">
      <c r="A58" s="199" t="s">
        <v>78</v>
      </c>
      <c r="B58" s="199"/>
      <c r="C58" s="199"/>
      <c r="D58" s="199"/>
      <c r="E58" s="199"/>
      <c r="F58" s="199"/>
      <c r="G58" s="199"/>
      <c r="H58" s="199"/>
    </row>
    <row r="59" spans="1:8" ht="18" customHeight="1" x14ac:dyDescent="0.3">
      <c r="A59" s="97" t="s">
        <v>79</v>
      </c>
      <c r="B59" s="30">
        <f>IFERROR(B6*B7,"")</f>
        <v>1368000</v>
      </c>
      <c r="C59" s="108" t="s">
        <v>80</v>
      </c>
      <c r="D59" s="10"/>
      <c r="E59" s="10"/>
      <c r="F59" s="10"/>
      <c r="G59" s="10"/>
      <c r="H59" s="10"/>
    </row>
    <row r="60" spans="1:8" ht="18" customHeight="1" x14ac:dyDescent="0.3">
      <c r="A60" s="97" t="s">
        <v>82</v>
      </c>
      <c r="B60" s="22">
        <f>IFERROR(B6/B8,"")</f>
        <v>29.23076923076923</v>
      </c>
      <c r="C60" s="108" t="s">
        <v>60</v>
      </c>
      <c r="D60" s="10"/>
      <c r="E60" s="10"/>
      <c r="F60" s="10"/>
      <c r="G60" s="10"/>
      <c r="H60" s="10"/>
    </row>
    <row r="61" spans="1:8" ht="18" customHeight="1" x14ac:dyDescent="0.3">
      <c r="A61" s="97" t="s">
        <v>184</v>
      </c>
      <c r="B61" s="22">
        <f>IFERROR((B6*B7+B11-B12)/B9,"")</f>
        <v>23.818181818181817</v>
      </c>
      <c r="C61" s="108" t="s">
        <v>60</v>
      </c>
      <c r="D61" s="10"/>
      <c r="E61" s="10"/>
      <c r="F61" s="10"/>
      <c r="G61" s="10"/>
      <c r="H61" s="10"/>
    </row>
    <row r="62" spans="1:8" ht="18" customHeight="1" x14ac:dyDescent="0.3">
      <c r="A62" s="97" t="s">
        <v>185</v>
      </c>
      <c r="B62" s="22">
        <f>IFERROR((B6*B7+B11-B12)/B10,"")</f>
        <v>5.458333333333333</v>
      </c>
      <c r="C62" s="108" t="s">
        <v>60</v>
      </c>
      <c r="D62" s="10"/>
      <c r="E62" s="10"/>
      <c r="F62" s="10"/>
      <c r="G62" s="10"/>
      <c r="H62" s="10"/>
    </row>
    <row r="63" spans="1:8" ht="18" customHeight="1" x14ac:dyDescent="0.3">
      <c r="A63" s="97" t="s">
        <v>186</v>
      </c>
      <c r="B63" s="31">
        <f>B19</f>
        <v>0.24</v>
      </c>
      <c r="C63" s="108" t="s">
        <v>47</v>
      </c>
      <c r="D63" s="10"/>
      <c r="E63" s="10"/>
      <c r="F63" s="10"/>
      <c r="G63" s="10"/>
      <c r="H63" s="10"/>
    </row>
    <row r="65" spans="1:8" ht="33.75" customHeight="1" x14ac:dyDescent="0.3">
      <c r="A65" s="203" t="s">
        <v>84</v>
      </c>
      <c r="B65" s="203"/>
      <c r="C65" s="203"/>
      <c r="D65" s="203"/>
      <c r="E65" s="203"/>
      <c r="F65" s="203"/>
      <c r="G65" s="203"/>
      <c r="H65" s="203"/>
    </row>
    <row r="66" spans="1:8" ht="24" customHeight="1" x14ac:dyDescent="0.3">
      <c r="A66" s="204" t="s">
        <v>85</v>
      </c>
      <c r="B66" s="204"/>
      <c r="C66" s="204"/>
      <c r="D66" s="204"/>
      <c r="E66" s="204"/>
      <c r="F66" s="204"/>
      <c r="G66" s="204"/>
      <c r="H66" s="204"/>
    </row>
    <row r="67" spans="1:8" ht="7.5" customHeight="1" x14ac:dyDescent="0.3"/>
    <row r="68" spans="1:8" ht="19.5" customHeight="1" x14ac:dyDescent="0.3">
      <c r="A68" s="199" t="s">
        <v>86</v>
      </c>
      <c r="B68" s="199"/>
      <c r="C68" s="199"/>
    </row>
    <row r="69" spans="1:8" ht="18" customHeight="1" x14ac:dyDescent="0.3">
      <c r="A69" s="11" t="s">
        <v>38</v>
      </c>
      <c r="B69" s="32">
        <f>B6</f>
        <v>3800</v>
      </c>
      <c r="C69" s="33" t="s">
        <v>39</v>
      </c>
    </row>
    <row r="70" spans="1:8" ht="18" customHeight="1" x14ac:dyDescent="0.3">
      <c r="A70" s="11" t="s">
        <v>76</v>
      </c>
      <c r="B70" s="32">
        <f>B55</f>
        <v>3058.7691362790447</v>
      </c>
      <c r="C70" s="33" t="s">
        <v>39</v>
      </c>
    </row>
    <row r="71" spans="1:8" ht="19.5" customHeight="1" x14ac:dyDescent="0.3">
      <c r="A71" s="34" t="s">
        <v>87</v>
      </c>
      <c r="B71" s="35">
        <f>B56</f>
        <v>-0.19506075361077771</v>
      </c>
      <c r="C71" s="36" t="s">
        <v>47</v>
      </c>
    </row>
    <row r="72" spans="1:8" ht="7.5" customHeight="1" x14ac:dyDescent="0.3"/>
    <row r="73" spans="1:8" ht="19.5" customHeight="1" x14ac:dyDescent="0.3">
      <c r="A73" s="199" t="s">
        <v>88</v>
      </c>
      <c r="B73" s="199"/>
      <c r="C73" s="199"/>
    </row>
    <row r="74" spans="1:8" ht="21.75" customHeight="1" x14ac:dyDescent="0.3">
      <c r="A74" s="11" t="s">
        <v>187</v>
      </c>
      <c r="B74" s="37" t="str">
        <f>IF(B37="","— Enter Data —",IF(B37&gt;0.2,"STRONG BUY",IF(B37&gt;0.1,"BUY",IF(B37&gt;=-0.1,"HOLD",IF(B37&gt;=-0.2,"SELL","STRONG SELL")))))</f>
        <v>STRONG SELL</v>
      </c>
      <c r="C74" s="38"/>
    </row>
    <row r="75" spans="1:8" ht="21.75" customHeight="1" x14ac:dyDescent="0.3">
      <c r="A75" s="11" t="s">
        <v>188</v>
      </c>
      <c r="B75" s="37" t="str">
        <f>IF(B42="","— Enter Data —",IF(B42&gt;0.2,"STRONG BUY",IF(B42&gt;0.1,"BUY",IF(B42&gt;=-0.1,"HOLD",IF(B42&gt;=-0.2,"SELL","STRONG SELL")))))</f>
        <v>HOLD</v>
      </c>
      <c r="C75" s="38"/>
    </row>
    <row r="76" spans="1:8" ht="21.75" customHeight="1" x14ac:dyDescent="0.3">
      <c r="A76" s="11" t="s">
        <v>189</v>
      </c>
      <c r="B76" s="37" t="str">
        <f>IF(B48="","— Enter Data —",IF(B48&gt;0.2,"STRONG BUY",IF(B48&gt;0.1,"BUY",IF(B48&gt;=-0.1,"HOLD",IF(B48&gt;=-0.2,"SELL","STRONG SELL")))))</f>
        <v>HOLD</v>
      </c>
      <c r="C76" s="38"/>
    </row>
    <row r="77" spans="1:8" ht="7.5" customHeight="1" x14ac:dyDescent="0.3"/>
    <row r="78" spans="1:8" ht="19.5" customHeight="1" x14ac:dyDescent="0.3">
      <c r="A78" s="199" t="s">
        <v>93</v>
      </c>
      <c r="B78" s="199"/>
      <c r="C78" s="199"/>
    </row>
    <row r="79" spans="1:8" ht="18" customHeight="1" x14ac:dyDescent="0.3">
      <c r="A79" s="11" t="s">
        <v>94</v>
      </c>
      <c r="B79" s="39">
        <f>COUNTIF(B74,"*BUY*")+COUNTIF(B75,"*BUY*")+COUNTIF(B76,"*BUY*")</f>
        <v>0</v>
      </c>
      <c r="C79" s="33" t="s">
        <v>190</v>
      </c>
    </row>
    <row r="80" spans="1:8" ht="18" customHeight="1" x14ac:dyDescent="0.3">
      <c r="A80" s="11" t="s">
        <v>96</v>
      </c>
      <c r="B80" s="40">
        <f>COUNTIF(B74,"HOLD")+COUNTIF(B75,"HOLD")+COUNTIF(B76,"HOLD")</f>
        <v>2</v>
      </c>
      <c r="C80" s="33" t="s">
        <v>190</v>
      </c>
    </row>
    <row r="81" spans="1:8" ht="18" customHeight="1" x14ac:dyDescent="0.3">
      <c r="A81" s="11" t="s">
        <v>97</v>
      </c>
      <c r="B81" s="41">
        <f>COUNTIF(B74,"*SELL*")+COUNTIF(B75,"*SELL*")+COUNTIF(B76,"*SELL*")</f>
        <v>1</v>
      </c>
      <c r="C81" s="33" t="s">
        <v>190</v>
      </c>
    </row>
    <row r="82" spans="1:8" ht="9.75" customHeight="1" x14ac:dyDescent="0.3"/>
    <row r="83" spans="1:8" ht="19.5" customHeight="1" x14ac:dyDescent="0.3">
      <c r="A83" s="200" t="s">
        <v>98</v>
      </c>
      <c r="B83" s="200"/>
      <c r="C83" s="200"/>
    </row>
    <row r="84" spans="1:8" ht="37.5" customHeight="1" x14ac:dyDescent="0.3">
      <c r="A84" s="42" t="s">
        <v>99</v>
      </c>
      <c r="B84" s="43" t="str">
        <f>IF(B56="","— Enter Data —",IF(B56&gt;0.2,"STRONG BUY",IF(B56&gt;0.1,"BUY",IF(B56&gt;=-0.1,"HOLD",IF(B56&gt;=-0.2,"SELL","STRONG SELL")))))</f>
        <v>SELL</v>
      </c>
      <c r="C84" s="11"/>
    </row>
    <row r="85" spans="1:8" ht="18" customHeight="1" x14ac:dyDescent="0.3">
      <c r="A85" s="44" t="s">
        <v>100</v>
      </c>
      <c r="B85" s="45">
        <f>B56</f>
        <v>-0.19506075361077771</v>
      </c>
      <c r="C85" s="33" t="s">
        <v>101</v>
      </c>
    </row>
    <row r="86" spans="1:8" ht="6" customHeight="1" x14ac:dyDescent="0.3"/>
    <row r="87" spans="1:8" ht="36" customHeight="1" x14ac:dyDescent="0.3">
      <c r="A87" s="201" t="s">
        <v>102</v>
      </c>
      <c r="B87" s="201"/>
      <c r="C87" s="201"/>
      <c r="D87" s="201"/>
      <c r="E87" s="201"/>
      <c r="F87" s="201"/>
      <c r="G87" s="201"/>
      <c r="H87" s="201"/>
    </row>
    <row r="90" spans="1:8" ht="33.75" customHeight="1" x14ac:dyDescent="0.3">
      <c r="A90" s="202" t="s">
        <v>103</v>
      </c>
      <c r="B90" s="202"/>
      <c r="C90" s="202"/>
      <c r="D90" s="202"/>
      <c r="E90" s="202"/>
      <c r="F90" s="202"/>
      <c r="G90" s="202"/>
      <c r="H90" s="202"/>
    </row>
    <row r="91" spans="1:8" ht="25.5" customHeight="1" x14ac:dyDescent="0.3">
      <c r="A91" s="198" t="s">
        <v>104</v>
      </c>
      <c r="B91" s="198"/>
      <c r="C91" s="198"/>
      <c r="D91" s="198"/>
      <c r="E91" s="198"/>
      <c r="F91" s="198"/>
      <c r="G91" s="198"/>
      <c r="H91" s="198"/>
    </row>
    <row r="92" spans="1:8" ht="7.5" customHeight="1" x14ac:dyDescent="0.3"/>
    <row r="93" spans="1:8" ht="19.5" customHeight="1" x14ac:dyDescent="0.3">
      <c r="A93" s="196" t="s">
        <v>105</v>
      </c>
      <c r="B93" s="196"/>
      <c r="C93" s="196"/>
      <c r="D93" s="196"/>
      <c r="E93" s="196"/>
      <c r="F93" s="196"/>
      <c r="G93" s="196"/>
      <c r="H93" s="196"/>
    </row>
    <row r="94" spans="1:8" ht="19.5" customHeight="1" x14ac:dyDescent="0.3">
      <c r="A94" s="11" t="s">
        <v>106</v>
      </c>
      <c r="B94" s="178">
        <v>0.2</v>
      </c>
      <c r="C94" s="33" t="s">
        <v>191</v>
      </c>
      <c r="D94" s="109"/>
      <c r="E94" s="109"/>
      <c r="F94" s="109"/>
      <c r="G94" s="109"/>
      <c r="H94" s="109"/>
    </row>
    <row r="95" spans="1:8" ht="19.5" customHeight="1" x14ac:dyDescent="0.3">
      <c r="A95" s="11" t="s">
        <v>108</v>
      </c>
      <c r="B95" s="178">
        <v>0.12</v>
      </c>
      <c r="C95" s="33" t="s">
        <v>192</v>
      </c>
      <c r="D95" s="109"/>
      <c r="E95" s="109"/>
      <c r="F95" s="109"/>
      <c r="G95" s="109"/>
      <c r="H95" s="109"/>
    </row>
    <row r="96" spans="1:8" ht="7.5" customHeight="1" x14ac:dyDescent="0.3"/>
    <row r="97" spans="1:8" ht="19.5" customHeight="1" x14ac:dyDescent="0.3">
      <c r="A97" s="197" t="s">
        <v>110</v>
      </c>
      <c r="B97" s="197"/>
      <c r="C97" s="197"/>
      <c r="D97" s="197"/>
      <c r="E97" s="197"/>
      <c r="F97" s="197"/>
      <c r="G97" s="197"/>
      <c r="H97" s="197"/>
    </row>
    <row r="98" spans="1:8" ht="18" customHeight="1" x14ac:dyDescent="0.3">
      <c r="A98" s="46" t="s">
        <v>111</v>
      </c>
      <c r="B98" s="46" t="s">
        <v>112</v>
      </c>
      <c r="C98" s="46" t="s">
        <v>193</v>
      </c>
      <c r="D98" s="46" t="s">
        <v>194</v>
      </c>
      <c r="E98" s="46" t="s">
        <v>195</v>
      </c>
      <c r="F98" s="46"/>
      <c r="G98" s="46"/>
      <c r="H98" s="46"/>
    </row>
    <row r="99" spans="1:8" ht="25.5" customHeight="1" x14ac:dyDescent="0.3">
      <c r="A99" s="47" t="s">
        <v>114</v>
      </c>
      <c r="B99" s="110">
        <f>IFERROR(B55*(1-B94*1.5),"")</f>
        <v>2141.1383953953314</v>
      </c>
      <c r="C99" s="111">
        <f>IFERROR(-B94*1.5,"")</f>
        <v>-0.30000000000000004</v>
      </c>
      <c r="D99" s="49" t="str">
        <f>IF(OR(B6="",B99=""),"—",IF(ABS(B6-B99)/B99&lt;0.005,"  ◆  CMP IS HERE",IF(B6&lt;B99,"  ✅  BELOW — ENTRY OPEN","  ⬆  ABOVE — NOT YET")))</f>
        <v xml:space="preserve">  ⬆  ABOVE — NOT YET</v>
      </c>
      <c r="E99" s="112">
        <f>IFERROR((B99-B6)/B6,"")</f>
        <v>-0.43654252752754436</v>
      </c>
      <c r="F99" s="113"/>
      <c r="G99" s="113"/>
      <c r="H99" s="113"/>
    </row>
    <row r="100" spans="1:8" ht="25.5" customHeight="1" x14ac:dyDescent="0.3">
      <c r="A100" s="50" t="s">
        <v>115</v>
      </c>
      <c r="B100" s="114">
        <f>IFERROR(B55*(1-B94),"")</f>
        <v>2447.0153090232357</v>
      </c>
      <c r="C100" s="115">
        <f>IFERROR(-B94,"")</f>
        <v>-0.2</v>
      </c>
      <c r="D100" s="52" t="str">
        <f>IF(OR(B6="",B100=""),"—",IF(ABS(B6-B100)/B100&lt;0.005,"  ◆  CMP IS HERE",IF(B6&lt;B100,"  ✅  BELOW — ENTRY OPEN","  ⬆  ABOVE — NOT YET")))</f>
        <v xml:space="preserve">  ⬆  ABOVE — NOT YET</v>
      </c>
      <c r="E100" s="116">
        <f>IFERROR((B100-B6)/B6,"")</f>
        <v>-0.35604860288862217</v>
      </c>
      <c r="F100" s="117"/>
      <c r="G100" s="117"/>
      <c r="H100" s="117"/>
    </row>
    <row r="101" spans="1:8" ht="25.5" customHeight="1" x14ac:dyDescent="0.3">
      <c r="A101" s="53" t="s">
        <v>116</v>
      </c>
      <c r="B101" s="118">
        <f>IFERROR(B55*(1-B94*0.5),"")</f>
        <v>2752.8922226511404</v>
      </c>
      <c r="C101" s="119">
        <f>IFERROR(-B94*0.5,"")</f>
        <v>-0.1</v>
      </c>
      <c r="D101" s="55" t="str">
        <f>IF(OR(B6="",B101=""),"—",IF(ABS(B6-B101)/B101&lt;0.005,"  ◆  CMP IS HERE",IF(B6&lt;B101,"  ✅  BELOW — ENTRY OPEN","  ⬆  ABOVE — NOT YET")))</f>
        <v xml:space="preserve">  ⬆  ABOVE — NOT YET</v>
      </c>
      <c r="E101" s="120">
        <f>IFERROR((B101-B6)/B6,"")</f>
        <v>-0.27555467824969987</v>
      </c>
      <c r="F101" s="121"/>
      <c r="G101" s="121"/>
      <c r="H101" s="121"/>
    </row>
    <row r="102" spans="1:8" ht="25.5" customHeight="1" x14ac:dyDescent="0.3">
      <c r="A102" s="56" t="s">
        <v>117</v>
      </c>
      <c r="B102" s="122">
        <f>B55</f>
        <v>3058.7691362790447</v>
      </c>
      <c r="C102" s="123" t="s">
        <v>196</v>
      </c>
      <c r="D102" s="58" t="str">
        <f>IF(OR(B6="",B102=""),"—",IF(ABS(B6-B102)/B102&lt;0.005,"  ◆  CMP IS HERE",IF(B6&lt;B102,"  ✅  BELOW — ENTRY OPEN","  ⬆  ABOVE — NOT YET")))</f>
        <v xml:space="preserve">  ⬆  ABOVE — NOT YET</v>
      </c>
      <c r="E102" s="124">
        <f>IFERROR((B102-B6)/B6,"")</f>
        <v>-0.19506075361077771</v>
      </c>
      <c r="F102" s="125"/>
      <c r="G102" s="125"/>
      <c r="H102" s="125"/>
    </row>
    <row r="103" spans="1:8" ht="25.5" customHeight="1" x14ac:dyDescent="0.3">
      <c r="A103" s="59" t="s">
        <v>118</v>
      </c>
      <c r="B103" s="126">
        <f>IFERROR(B55*1.15,"")</f>
        <v>3517.5845067209011</v>
      </c>
      <c r="C103" s="127">
        <f>15%</f>
        <v>0.15</v>
      </c>
      <c r="D103" s="61" t="str">
        <f>IF(OR(B6="",B103=""),"—",IF(ABS(B6-B103)/B103&lt;0.005,"  ◆  CMP IS HERE",IF(B6&gt;B103,"  ⬆  ABOVE — CONSIDER TRIMMING","  ✅  BELOW — NOT YET AT PROFIT TARGET")))</f>
        <v xml:space="preserve">  ⬆  ABOVE — CONSIDER TRIMMING</v>
      </c>
      <c r="E103" s="128">
        <f>IFERROR((B103-B6)/B6,"")</f>
        <v>-7.4319866652394442E-2</v>
      </c>
      <c r="F103" s="129"/>
      <c r="G103" s="129"/>
      <c r="H103" s="129"/>
    </row>
    <row r="104" spans="1:8" ht="25.5" customHeight="1" x14ac:dyDescent="0.3">
      <c r="A104" s="62" t="s">
        <v>119</v>
      </c>
      <c r="B104" s="130">
        <f>IFERROR(B55*1.25,"")</f>
        <v>3823.4614203488059</v>
      </c>
      <c r="C104" s="131">
        <f>25%</f>
        <v>0.25</v>
      </c>
      <c r="D104" s="64" t="str">
        <f>IF(OR(B6="",B104=""),"—",IF(ABS(B6-B104)/B104&lt;0.005,"  ◆  CMP IS HERE",IF(B6&gt;B104,"  ⬆  ABOVE — EXIT ZONE","  ⚠️  APPROACHING EXIT THRESHOLD")))</f>
        <v xml:space="preserve">  ⚠️  APPROACHING EXIT THRESHOLD</v>
      </c>
      <c r="E104" s="132">
        <f>IFERROR((B104-B6)/B6,"")</f>
        <v>6.1740579865278578E-3</v>
      </c>
      <c r="F104" s="133"/>
      <c r="G104" s="133"/>
      <c r="H104" s="133"/>
    </row>
    <row r="105" spans="1:8" ht="25.5" customHeight="1" x14ac:dyDescent="0.3">
      <c r="A105" s="65" t="s">
        <v>120</v>
      </c>
      <c r="B105" s="134">
        <f>IFERROR(B99*(1-B95),"")</f>
        <v>1884.2017879478917</v>
      </c>
      <c r="C105" s="135">
        <f>IFERROR(-B94*1.5-B95,"")</f>
        <v>-0.42000000000000004</v>
      </c>
      <c r="D105" s="67" t="str">
        <f>IF(OR(B6="",B105=""),"—",IF(ABS(B6-B105)/B105&lt;0.005,"  ◆  CMP IS HERE",IF(B6&lt;B105,"  ✅  BELOW — ENTRY OPEN","  ⬆  ABOVE — NOT YET")))</f>
        <v xml:space="preserve">  ⬆  ABOVE — NOT YET</v>
      </c>
      <c r="E105" s="136">
        <f>IFERROR((B105-B6)/B6,"")</f>
        <v>-0.50415742422423904</v>
      </c>
      <c r="F105" s="137"/>
      <c r="G105" s="137"/>
      <c r="H105" s="137"/>
    </row>
    <row r="106" spans="1:8" ht="25.5" customHeight="1" x14ac:dyDescent="0.3">
      <c r="A106" s="184"/>
      <c r="B106" s="187"/>
      <c r="C106" s="188"/>
      <c r="D106" s="186"/>
      <c r="E106" s="189"/>
      <c r="F106" s="190"/>
      <c r="G106" s="190"/>
      <c r="H106" s="190"/>
    </row>
    <row r="107" spans="1:8" ht="52.2" customHeight="1" x14ac:dyDescent="0.3">
      <c r="A107" s="198" t="s">
        <v>350</v>
      </c>
      <c r="B107" s="198"/>
      <c r="C107" s="198"/>
      <c r="D107" s="186"/>
      <c r="E107" s="189"/>
      <c r="F107" s="190"/>
      <c r="G107" s="190"/>
      <c r="H107" s="190"/>
    </row>
    <row r="108" spans="1:8" ht="7.5" customHeight="1" x14ac:dyDescent="0.3"/>
    <row r="109" spans="1:8" ht="19.5" customHeight="1" x14ac:dyDescent="0.3">
      <c r="A109" s="196" t="s">
        <v>121</v>
      </c>
      <c r="B109" s="196"/>
      <c r="C109" s="196"/>
      <c r="D109" s="196"/>
      <c r="E109" s="196"/>
      <c r="F109" s="196"/>
      <c r="G109" s="196"/>
      <c r="H109" s="196"/>
    </row>
    <row r="110" spans="1:8" ht="19.5" customHeight="1" x14ac:dyDescent="0.3">
      <c r="A110" s="11" t="s">
        <v>122</v>
      </c>
      <c r="B110" s="68">
        <f>B6</f>
        <v>3800</v>
      </c>
      <c r="C110" s="33" t="s">
        <v>39</v>
      </c>
      <c r="D110" s="109"/>
      <c r="E110" s="109"/>
      <c r="F110" s="109"/>
      <c r="G110" s="109"/>
      <c r="H110" s="109"/>
    </row>
    <row r="111" spans="1:8" ht="27.75" customHeight="1" x14ac:dyDescent="0.3">
      <c r="A111" s="69" t="s">
        <v>123</v>
      </c>
      <c r="B111" s="70" t="str">
        <f>IF(OR(B6="",B55=""),"Enter data above",IF(B6&lt;=B55*(1-B99*1.5),"** STRONG BUY ** Excellent Entry",IF(B6&lt;=B55*(1-B99),"BUY - Good Entry",IF(B6&lt;=B55*(1-B99*0.5),"ACCUMULATE - Reasonable Entry",IF(B6&lt;=B55,"Near Fair Value - Cautious",IF(B6&lt;=B55*1.15,"Above Fair Value - Consider Trimming",IF(B6&lt;=B55*1.25,"EXPENSIVE - Consider Exiting","OVERVALUED - Exit Now")))))))</f>
        <v>EXPENSIVE - Consider Exiting</v>
      </c>
      <c r="C111" s="71"/>
      <c r="D111" s="138"/>
      <c r="E111" s="138"/>
      <c r="F111" s="138"/>
      <c r="G111" s="138"/>
      <c r="H111" s="138"/>
    </row>
    <row r="112" spans="1:8" ht="7.5" customHeight="1" x14ac:dyDescent="0.3"/>
    <row r="113" spans="1:8" ht="19.5" customHeight="1" x14ac:dyDescent="0.3">
      <c r="A113" s="197" t="s">
        <v>124</v>
      </c>
      <c r="B113" s="197"/>
      <c r="C113" s="197"/>
      <c r="D113" s="197"/>
      <c r="E113" s="197"/>
      <c r="F113" s="197"/>
      <c r="G113" s="197"/>
      <c r="H113" s="197"/>
    </row>
    <row r="114" spans="1:8" ht="19.5" customHeight="1" x14ac:dyDescent="0.3">
      <c r="A114" s="72" t="s">
        <v>125</v>
      </c>
      <c r="B114" s="213" t="s">
        <v>126</v>
      </c>
      <c r="C114" s="213"/>
      <c r="D114" s="213"/>
      <c r="E114" s="213"/>
      <c r="F114" s="213"/>
      <c r="G114" s="213"/>
      <c r="H114" s="213"/>
    </row>
    <row r="115" spans="1:8" ht="19.5" customHeight="1" x14ac:dyDescent="0.3">
      <c r="A115" s="75" t="s">
        <v>127</v>
      </c>
      <c r="B115" s="214" t="s">
        <v>128</v>
      </c>
      <c r="C115" s="214"/>
      <c r="D115" s="214"/>
      <c r="E115" s="214"/>
      <c r="F115" s="214"/>
      <c r="G115" s="214"/>
      <c r="H115" s="214"/>
    </row>
    <row r="116" spans="1:8" ht="19.5" customHeight="1" x14ac:dyDescent="0.3">
      <c r="A116" s="77" t="s">
        <v>129</v>
      </c>
      <c r="B116" s="215" t="s">
        <v>130</v>
      </c>
      <c r="C116" s="215"/>
      <c r="D116" s="215"/>
      <c r="E116" s="215"/>
      <c r="F116" s="215"/>
      <c r="G116" s="215"/>
      <c r="H116" s="215"/>
    </row>
    <row r="117" spans="1:8" ht="19.5" customHeight="1" x14ac:dyDescent="0.3">
      <c r="A117" s="79" t="s">
        <v>131</v>
      </c>
      <c r="B117" s="209" t="s">
        <v>132</v>
      </c>
      <c r="C117" s="209"/>
      <c r="D117" s="209"/>
      <c r="E117" s="209"/>
      <c r="F117" s="209"/>
      <c r="G117" s="209"/>
      <c r="H117" s="209"/>
    </row>
    <row r="118" spans="1:8" ht="19.5" customHeight="1" x14ac:dyDescent="0.3">
      <c r="A118" s="81" t="s">
        <v>133</v>
      </c>
      <c r="B118" s="210" t="s">
        <v>134</v>
      </c>
      <c r="C118" s="210"/>
      <c r="D118" s="210"/>
      <c r="E118" s="210"/>
      <c r="F118" s="210"/>
      <c r="G118" s="210"/>
      <c r="H118" s="210"/>
    </row>
    <row r="119" spans="1:8" ht="19.5" customHeight="1" x14ac:dyDescent="0.3">
      <c r="A119" s="83" t="s">
        <v>135</v>
      </c>
      <c r="B119" s="211" t="s">
        <v>136</v>
      </c>
      <c r="C119" s="211"/>
      <c r="D119" s="211"/>
      <c r="E119" s="211"/>
      <c r="F119" s="211"/>
      <c r="G119" s="211"/>
      <c r="H119" s="211"/>
    </row>
    <row r="120" spans="1:8" ht="19.5" customHeight="1" x14ac:dyDescent="0.3">
      <c r="A120" s="85" t="s">
        <v>137</v>
      </c>
      <c r="B120" s="212" t="s">
        <v>138</v>
      </c>
      <c r="C120" s="212"/>
      <c r="D120" s="212"/>
      <c r="E120" s="212"/>
      <c r="F120" s="212"/>
      <c r="G120" s="212"/>
      <c r="H120" s="212"/>
    </row>
    <row r="121" spans="1:8" ht="7.5" customHeight="1" x14ac:dyDescent="0.3"/>
    <row r="122" spans="1:8" ht="43.5" customHeight="1" x14ac:dyDescent="0.3">
      <c r="A122" s="198" t="s">
        <v>139</v>
      </c>
      <c r="B122" s="198"/>
      <c r="C122" s="198"/>
      <c r="D122" s="198"/>
      <c r="E122" s="198"/>
      <c r="F122" s="198"/>
      <c r="G122" s="198"/>
      <c r="H122" s="198"/>
    </row>
  </sheetData>
  <mergeCells count="31">
    <mergeCell ref="A1:H1"/>
    <mergeCell ref="A2:H2"/>
    <mergeCell ref="A25:H25"/>
    <mergeCell ref="A4:C4"/>
    <mergeCell ref="A14:C14"/>
    <mergeCell ref="A39:H39"/>
    <mergeCell ref="A44:H44"/>
    <mergeCell ref="A50:H50"/>
    <mergeCell ref="A58:H58"/>
    <mergeCell ref="A65:H65"/>
    <mergeCell ref="A66:H66"/>
    <mergeCell ref="A68:C68"/>
    <mergeCell ref="A73:C73"/>
    <mergeCell ref="A78:C78"/>
    <mergeCell ref="A83:C83"/>
    <mergeCell ref="A87:H87"/>
    <mergeCell ref="A90:H90"/>
    <mergeCell ref="A91:H91"/>
    <mergeCell ref="A93:H93"/>
    <mergeCell ref="A97:H97"/>
    <mergeCell ref="A122:H122"/>
    <mergeCell ref="A109:H109"/>
    <mergeCell ref="A113:H113"/>
    <mergeCell ref="B114:H114"/>
    <mergeCell ref="B115:H115"/>
    <mergeCell ref="B116:H116"/>
    <mergeCell ref="A107:C107"/>
    <mergeCell ref="B117:H117"/>
    <mergeCell ref="B118:H118"/>
    <mergeCell ref="B119:H119"/>
    <mergeCell ref="B120:H120"/>
  </mergeCells>
  <conditionalFormatting sqref="B71">
    <cfRule type="expression" dxfId="378" priority="2">
      <formula>B56&gt;0.2</formula>
    </cfRule>
    <cfRule type="expression" dxfId="377" priority="3">
      <formula>AND(B56&gt;0.1,B56&lt;=0.2)</formula>
    </cfRule>
    <cfRule type="expression" dxfId="376" priority="4">
      <formula>AND(B56&gt;=-0.1,B56&lt;=0.1)</formula>
    </cfRule>
    <cfRule type="expression" dxfId="375" priority="5">
      <formula>AND(B56&gt;=-0.2,B56&lt;-0.1)</formula>
    </cfRule>
    <cfRule type="expression" dxfId="374" priority="6">
      <formula>B56&lt;-0.2</formula>
    </cfRule>
  </conditionalFormatting>
  <conditionalFormatting sqref="B74">
    <cfRule type="expression" dxfId="373" priority="7">
      <formula>B37&gt;0.2</formula>
    </cfRule>
    <cfRule type="expression" dxfId="372" priority="8">
      <formula>AND(B37&gt;0.1,B37&lt;=0.2)</formula>
    </cfRule>
    <cfRule type="expression" dxfId="371" priority="9">
      <formula>AND(B37&gt;=-0.1,B37&lt;=0.1)</formula>
    </cfRule>
    <cfRule type="expression" dxfId="370" priority="10">
      <formula>AND(B37&gt;=-0.2,B37&lt;-0.1)</formula>
    </cfRule>
    <cfRule type="expression" dxfId="369" priority="11">
      <formula>B37&lt;-0.2</formula>
    </cfRule>
  </conditionalFormatting>
  <conditionalFormatting sqref="B75">
    <cfRule type="expression" dxfId="368" priority="12">
      <formula>B42&gt;0.2</formula>
    </cfRule>
    <cfRule type="expression" dxfId="367" priority="13">
      <formula>AND(B42&gt;0.1,B42&lt;=0.2)</formula>
    </cfRule>
    <cfRule type="expression" dxfId="366" priority="14">
      <formula>AND(B42&gt;=-0.1,B42&lt;=0.1)</formula>
    </cfRule>
    <cfRule type="expression" dxfId="365" priority="15">
      <formula>AND(B42&gt;=-0.2,B42&lt;-0.1)</formula>
    </cfRule>
    <cfRule type="expression" dxfId="364" priority="16">
      <formula>B42&lt;-0.2</formula>
    </cfRule>
  </conditionalFormatting>
  <conditionalFormatting sqref="B76">
    <cfRule type="expression" dxfId="363" priority="17">
      <formula>B48&gt;0.2</formula>
    </cfRule>
    <cfRule type="expression" dxfId="362" priority="18">
      <formula>AND(B48&gt;0.1,B48&lt;=0.2)</formula>
    </cfRule>
    <cfRule type="expression" dxfId="361" priority="19">
      <formula>AND(B48&gt;=-0.1,B48&lt;=0.1)</formula>
    </cfRule>
    <cfRule type="expression" dxfId="360" priority="20">
      <formula>AND(B48&gt;=-0.2,B48&lt;-0.1)</formula>
    </cfRule>
    <cfRule type="expression" dxfId="359" priority="21">
      <formula>B48&lt;-0.2</formula>
    </cfRule>
  </conditionalFormatting>
  <conditionalFormatting sqref="B84">
    <cfRule type="expression" dxfId="358" priority="22">
      <formula>B56&gt;0.2</formula>
    </cfRule>
    <cfRule type="expression" dxfId="357" priority="23">
      <formula>AND(B56&gt;0.1,B56&lt;=0.2)</formula>
    </cfRule>
    <cfRule type="expression" dxfId="356" priority="24">
      <formula>AND(B56&gt;=-0.1,B56&lt;=0.1)</formula>
    </cfRule>
    <cfRule type="expression" dxfId="355" priority="25">
      <formula>AND(B56&gt;=-0.2,B56&lt;-0.1)</formula>
    </cfRule>
    <cfRule type="expression" dxfId="354" priority="26">
      <formula>B56&lt;-0.2</formula>
    </cfRule>
  </conditionalFormatting>
  <conditionalFormatting sqref="B85">
    <cfRule type="expression" dxfId="353" priority="27">
      <formula>B56&gt;0.2</formula>
    </cfRule>
    <cfRule type="expression" dxfId="352" priority="28">
      <formula>AND(B56&gt;0.1,B56&lt;=0.2)</formula>
    </cfRule>
    <cfRule type="expression" dxfId="351" priority="29">
      <formula>AND(B56&gt;=-0.1,B56&lt;=0.1)</formula>
    </cfRule>
    <cfRule type="expression" dxfId="350" priority="30">
      <formula>AND(B56&gt;=-0.2,B56&lt;-0.1)</formula>
    </cfRule>
    <cfRule type="expression" dxfId="349" priority="31">
      <formula>B56&lt;-0.2</formula>
    </cfRule>
  </conditionalFormatting>
  <conditionalFormatting sqref="B111">
    <cfRule type="expression" dxfId="348" priority="49">
      <formula>B6&gt;B55*1.15</formula>
    </cfRule>
    <cfRule type="expression" dxfId="347" priority="44">
      <formula>B6&lt;=B55*(1-B94*1.5)</formula>
    </cfRule>
    <cfRule type="expression" dxfId="346" priority="45">
      <formula>AND(B6&gt;B55*(1-B94*1.5),B6&lt;=B55*(1-B94))</formula>
    </cfRule>
    <cfRule type="expression" dxfId="345" priority="46">
      <formula>AND(B6&gt;B55*(1-B94),B6&lt;=B55*(1-B94*0.5))</formula>
    </cfRule>
    <cfRule type="expression" dxfId="344" priority="47">
      <formula>AND(B6&gt;B55*(1-B94*0.5),B6&lt;=B55)</formula>
    </cfRule>
    <cfRule type="expression" dxfId="343" priority="48">
      <formula>AND(B6&gt;B55,B6&lt;=B55*1.15)</formula>
    </cfRule>
  </conditionalFormatting>
  <conditionalFormatting sqref="D99">
    <cfRule type="expression" dxfId="342" priority="32">
      <formula>B6&lt;B99</formula>
    </cfRule>
    <cfRule type="expression" dxfId="341" priority="33">
      <formula>B6&gt;=B99</formula>
    </cfRule>
  </conditionalFormatting>
  <conditionalFormatting sqref="D100">
    <cfRule type="expression" dxfId="340" priority="34">
      <formula>B6&lt;B100</formula>
    </cfRule>
    <cfRule type="expression" dxfId="339" priority="35">
      <formula>B6&gt;=B100</formula>
    </cfRule>
  </conditionalFormatting>
  <conditionalFormatting sqref="D101">
    <cfRule type="expression" dxfId="338" priority="36">
      <formula>B6&lt;B101</formula>
    </cfRule>
    <cfRule type="expression" dxfId="337" priority="37">
      <formula>B6&gt;=B101</formula>
    </cfRule>
  </conditionalFormatting>
  <conditionalFormatting sqref="D102">
    <cfRule type="expression" dxfId="336" priority="38">
      <formula>B6&lt;B102</formula>
    </cfRule>
    <cfRule type="expression" dxfId="335" priority="39">
      <formula>B6&gt;=B102</formula>
    </cfRule>
  </conditionalFormatting>
  <conditionalFormatting sqref="D103">
    <cfRule type="expression" dxfId="334" priority="40">
      <formula>B6&lt;B103</formula>
    </cfRule>
    <cfRule type="expression" dxfId="333" priority="41">
      <formula>B6&gt;=B103</formula>
    </cfRule>
  </conditionalFormatting>
  <conditionalFormatting sqref="D104">
    <cfRule type="expression" dxfId="332" priority="42">
      <formula>B6&lt;B104</formula>
    </cfRule>
    <cfRule type="expression" dxfId="331" priority="43">
      <formula>B6&gt;=B104</formula>
    </cfRule>
  </conditionalFormatting>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0"/>
  <sheetViews>
    <sheetView showGridLines="0" topLeftCell="A32" zoomScaleNormal="100" workbookViewId="0">
      <selection activeCell="A99" sqref="A99:C99"/>
    </sheetView>
  </sheetViews>
  <sheetFormatPr defaultColWidth="8.6640625" defaultRowHeight="14.4" x14ac:dyDescent="0.3"/>
  <cols>
    <col min="1" max="1" width="71.21875" customWidth="1"/>
    <col min="2" max="2" width="24.6640625" customWidth="1"/>
    <col min="3" max="3" width="29.109375" customWidth="1"/>
    <col min="4" max="7" width="13" customWidth="1"/>
    <col min="8" max="8" width="14" customWidth="1"/>
  </cols>
  <sheetData>
    <row r="1" spans="1:3" ht="31.5" customHeight="1" x14ac:dyDescent="0.3">
      <c r="A1" s="206" t="s">
        <v>197</v>
      </c>
      <c r="B1" s="206"/>
      <c r="C1" s="206"/>
    </row>
    <row r="2" spans="1:3" ht="27.75" customHeight="1" x14ac:dyDescent="0.3">
      <c r="A2" s="207" t="s">
        <v>198</v>
      </c>
      <c r="B2" s="207"/>
      <c r="C2" s="207"/>
    </row>
    <row r="3" spans="1:3" ht="7.5" customHeight="1" x14ac:dyDescent="0.3"/>
    <row r="4" spans="1:3" ht="19.5" customHeight="1" x14ac:dyDescent="0.3">
      <c r="A4" s="208" t="s">
        <v>35</v>
      </c>
      <c r="B4" s="208"/>
      <c r="C4" s="208"/>
    </row>
    <row r="5" spans="1:3" ht="18" customHeight="1" x14ac:dyDescent="0.3">
      <c r="A5" s="179" t="s">
        <v>36</v>
      </c>
      <c r="B5" s="180" t="s">
        <v>199</v>
      </c>
      <c r="C5" s="181"/>
    </row>
    <row r="6" spans="1:3" ht="18" customHeight="1" x14ac:dyDescent="0.3">
      <c r="A6" s="179" t="s">
        <v>38</v>
      </c>
      <c r="B6" s="182">
        <v>1250</v>
      </c>
      <c r="C6" s="181" t="s">
        <v>39</v>
      </c>
    </row>
    <row r="7" spans="1:3" ht="18" customHeight="1" x14ac:dyDescent="0.3">
      <c r="A7" s="179" t="s">
        <v>40</v>
      </c>
      <c r="B7" s="183">
        <v>240</v>
      </c>
      <c r="C7" s="181" t="s">
        <v>41</v>
      </c>
    </row>
    <row r="8" spans="1:3" ht="18" customHeight="1" x14ac:dyDescent="0.3">
      <c r="A8" s="179" t="s">
        <v>143</v>
      </c>
      <c r="B8" s="182">
        <v>42</v>
      </c>
      <c r="C8" s="181" t="s">
        <v>39</v>
      </c>
    </row>
    <row r="9" spans="1:3" ht="18" customHeight="1" x14ac:dyDescent="0.3">
      <c r="A9" s="179" t="s">
        <v>146</v>
      </c>
      <c r="B9" s="183">
        <v>3000</v>
      </c>
      <c r="C9" s="181" t="s">
        <v>80</v>
      </c>
    </row>
    <row r="10" spans="1:3" ht="18" customHeight="1" x14ac:dyDescent="0.3">
      <c r="A10" s="179" t="s">
        <v>147</v>
      </c>
      <c r="B10" s="183">
        <v>8000</v>
      </c>
      <c r="C10" s="181" t="s">
        <v>80</v>
      </c>
    </row>
    <row r="11" spans="1:3" ht="7.5" customHeight="1" x14ac:dyDescent="0.3"/>
    <row r="12" spans="1:3" ht="19.5" customHeight="1" x14ac:dyDescent="0.3">
      <c r="A12" s="208" t="s">
        <v>45</v>
      </c>
      <c r="B12" s="208"/>
      <c r="C12" s="208"/>
    </row>
    <row r="13" spans="1:3" ht="18" customHeight="1" x14ac:dyDescent="0.3">
      <c r="A13" s="179" t="s">
        <v>145</v>
      </c>
      <c r="B13" s="183">
        <v>45000</v>
      </c>
      <c r="C13" s="181" t="s">
        <v>80</v>
      </c>
    </row>
    <row r="14" spans="1:3" ht="18" customHeight="1" x14ac:dyDescent="0.3">
      <c r="A14" s="179" t="s">
        <v>144</v>
      </c>
      <c r="B14" s="183">
        <v>12000</v>
      </c>
      <c r="C14" s="181" t="s">
        <v>80</v>
      </c>
    </row>
    <row r="15" spans="1:3" ht="18" customHeight="1" x14ac:dyDescent="0.3">
      <c r="A15" s="179" t="s">
        <v>200</v>
      </c>
      <c r="B15" s="191">
        <v>0.27</v>
      </c>
      <c r="C15" s="181" t="s">
        <v>47</v>
      </c>
    </row>
    <row r="16" spans="1:3" ht="18" customHeight="1" x14ac:dyDescent="0.3">
      <c r="A16" s="179" t="s">
        <v>201</v>
      </c>
      <c r="B16" s="191">
        <v>0.08</v>
      </c>
      <c r="C16" s="181" t="s">
        <v>47</v>
      </c>
    </row>
    <row r="17" spans="1:3" ht="18" customHeight="1" x14ac:dyDescent="0.3">
      <c r="A17" s="179" t="s">
        <v>202</v>
      </c>
      <c r="B17" s="191">
        <v>0.5</v>
      </c>
      <c r="C17" s="181" t="s">
        <v>47</v>
      </c>
    </row>
    <row r="18" spans="1:3" ht="18" customHeight="1" x14ac:dyDescent="0.3">
      <c r="A18" s="179" t="s">
        <v>203</v>
      </c>
      <c r="B18" s="191">
        <v>0.5</v>
      </c>
      <c r="C18" s="181" t="s">
        <v>47</v>
      </c>
    </row>
    <row r="19" spans="1:3" ht="7.5" customHeight="1" x14ac:dyDescent="0.3"/>
    <row r="20" spans="1:3" ht="19.5" customHeight="1" x14ac:dyDescent="0.3">
      <c r="A20" s="208" t="s">
        <v>54</v>
      </c>
      <c r="B20" s="208"/>
      <c r="C20" s="208"/>
    </row>
    <row r="21" spans="1:3" ht="18" customHeight="1" x14ac:dyDescent="0.3">
      <c r="A21" s="179" t="s">
        <v>204</v>
      </c>
      <c r="B21" s="192">
        <v>20</v>
      </c>
      <c r="C21" s="181" t="s">
        <v>60</v>
      </c>
    </row>
    <row r="22" spans="1:3" ht="18" customHeight="1" x14ac:dyDescent="0.3">
      <c r="A22" s="179" t="s">
        <v>176</v>
      </c>
      <c r="B22" s="192">
        <v>32</v>
      </c>
      <c r="C22" s="181" t="s">
        <v>60</v>
      </c>
    </row>
    <row r="23" spans="1:3" ht="18" customHeight="1" x14ac:dyDescent="0.3">
      <c r="A23" s="179" t="s">
        <v>205</v>
      </c>
      <c r="B23" s="191">
        <v>0.12</v>
      </c>
      <c r="C23" s="181" t="s">
        <v>47</v>
      </c>
    </row>
    <row r="24" spans="1:3" ht="18" customHeight="1" x14ac:dyDescent="0.3">
      <c r="A24" s="179" t="s">
        <v>206</v>
      </c>
      <c r="B24" s="191">
        <v>0.12</v>
      </c>
      <c r="C24" s="181" t="s">
        <v>47</v>
      </c>
    </row>
    <row r="25" spans="1:3" ht="18" customHeight="1" x14ac:dyDescent="0.3">
      <c r="A25" s="179" t="s">
        <v>151</v>
      </c>
      <c r="B25" s="191">
        <v>0.04</v>
      </c>
      <c r="C25" s="181" t="s">
        <v>47</v>
      </c>
    </row>
    <row r="26" spans="1:3" ht="18" customHeight="1" x14ac:dyDescent="0.3">
      <c r="A26" s="179" t="s">
        <v>207</v>
      </c>
      <c r="B26" s="191">
        <v>0.22</v>
      </c>
      <c r="C26" s="181" t="s">
        <v>47</v>
      </c>
    </row>
    <row r="27" spans="1:3" ht="7.5" customHeight="1" x14ac:dyDescent="0.3"/>
    <row r="28" spans="1:3" ht="19.5" customHeight="1" x14ac:dyDescent="0.3">
      <c r="A28" s="205" t="s">
        <v>208</v>
      </c>
      <c r="B28" s="205"/>
      <c r="C28" s="205"/>
    </row>
    <row r="29" spans="1:3" ht="18" customHeight="1" x14ac:dyDescent="0.3">
      <c r="A29" s="16" t="s">
        <v>209</v>
      </c>
      <c r="B29" s="17">
        <f>IFERROR((B21*B14-B9+B10)/B7,"")</f>
        <v>1020.8333333333334</v>
      </c>
      <c r="C29" s="18" t="s">
        <v>39</v>
      </c>
    </row>
    <row r="30" spans="1:3" ht="18" customHeight="1" x14ac:dyDescent="0.3">
      <c r="A30" s="19" t="s">
        <v>62</v>
      </c>
      <c r="B30" s="20">
        <f>IFERROR((B29-B6)/B6,"")</f>
        <v>-0.18333333333333329</v>
      </c>
      <c r="C30" s="21" t="s">
        <v>47</v>
      </c>
    </row>
    <row r="31" spans="1:3" ht="7.5" customHeight="1" x14ac:dyDescent="0.3"/>
    <row r="32" spans="1:3" ht="19.5" customHeight="1" x14ac:dyDescent="0.3">
      <c r="A32" s="205" t="s">
        <v>175</v>
      </c>
      <c r="B32" s="205"/>
      <c r="C32" s="205"/>
    </row>
    <row r="33" spans="1:3" ht="18" customHeight="1" x14ac:dyDescent="0.3">
      <c r="A33" s="16" t="s">
        <v>68</v>
      </c>
      <c r="B33" s="17">
        <f>IFERROR(B22*B8,"")</f>
        <v>1344</v>
      </c>
      <c r="C33" s="18" t="s">
        <v>39</v>
      </c>
    </row>
    <row r="34" spans="1:3" ht="18" customHeight="1" x14ac:dyDescent="0.3">
      <c r="A34" s="19" t="s">
        <v>62</v>
      </c>
      <c r="B34" s="20">
        <f>IFERROR((B33-B6)/B6,"")</f>
        <v>7.5200000000000003E-2</v>
      </c>
      <c r="C34" s="21" t="s">
        <v>47</v>
      </c>
    </row>
    <row r="35" spans="1:3" ht="7.5" customHeight="1" x14ac:dyDescent="0.3"/>
    <row r="36" spans="1:3" ht="19.5" customHeight="1" x14ac:dyDescent="0.3">
      <c r="A36" s="205" t="s">
        <v>210</v>
      </c>
      <c r="B36" s="205"/>
      <c r="C36" s="205"/>
    </row>
    <row r="37" spans="1:3" ht="18" customHeight="1" x14ac:dyDescent="0.3">
      <c r="A37" s="16" t="s">
        <v>211</v>
      </c>
      <c r="B37" s="30">
        <f>B157</f>
        <v>124099.02199741609</v>
      </c>
      <c r="C37" s="18" t="s">
        <v>80</v>
      </c>
    </row>
    <row r="38" spans="1:3" ht="18" customHeight="1" x14ac:dyDescent="0.3">
      <c r="A38" s="16" t="s">
        <v>212</v>
      </c>
      <c r="B38" s="17">
        <f>IFERROR((B37-B9+B10)/B7,"")</f>
        <v>537.91259165590031</v>
      </c>
      <c r="C38" s="18" t="s">
        <v>39</v>
      </c>
    </row>
    <row r="39" spans="1:3" ht="18" customHeight="1" x14ac:dyDescent="0.3">
      <c r="A39" s="19" t="s">
        <v>62</v>
      </c>
      <c r="B39" s="20">
        <f>IFERROR((B38-B6)/B6,"")</f>
        <v>-0.56966992667527971</v>
      </c>
      <c r="C39" s="21" t="s">
        <v>47</v>
      </c>
    </row>
    <row r="40" spans="1:3" ht="7.5" customHeight="1" x14ac:dyDescent="0.3"/>
    <row r="41" spans="1:3" ht="19.5" customHeight="1" x14ac:dyDescent="0.3">
      <c r="A41" s="200" t="s">
        <v>71</v>
      </c>
      <c r="B41" s="200"/>
      <c r="C41" s="200"/>
    </row>
    <row r="42" spans="1:3" ht="19.5" customHeight="1" x14ac:dyDescent="0.3">
      <c r="A42" s="23" t="s">
        <v>38</v>
      </c>
      <c r="B42" s="24">
        <f>B6</f>
        <v>1250</v>
      </c>
      <c r="C42" s="25" t="s">
        <v>39</v>
      </c>
    </row>
    <row r="43" spans="1:3" ht="19.5" customHeight="1" x14ac:dyDescent="0.3">
      <c r="A43" s="23" t="s">
        <v>183</v>
      </c>
      <c r="B43" s="24">
        <f>IFERROR(B29,"")</f>
        <v>1020.8333333333334</v>
      </c>
      <c r="C43" s="25" t="s">
        <v>39</v>
      </c>
    </row>
    <row r="44" spans="1:3" ht="19.5" customHeight="1" x14ac:dyDescent="0.3">
      <c r="A44" s="23" t="s">
        <v>182</v>
      </c>
      <c r="B44" s="24">
        <f>IFERROR(B33,"")</f>
        <v>1344</v>
      </c>
      <c r="C44" s="25" t="s">
        <v>39</v>
      </c>
    </row>
    <row r="45" spans="1:3" ht="19.5" customHeight="1" x14ac:dyDescent="0.3">
      <c r="A45" s="23" t="s">
        <v>181</v>
      </c>
      <c r="B45" s="24">
        <f>IFERROR(B159,"")</f>
        <v>537.91259165590031</v>
      </c>
      <c r="C45" s="25" t="s">
        <v>39</v>
      </c>
    </row>
    <row r="46" spans="1:3" ht="19.5" customHeight="1" x14ac:dyDescent="0.3">
      <c r="A46" s="139" t="s">
        <v>76</v>
      </c>
      <c r="B46" s="99">
        <f>IFERROR(AVERAGE(B43:B45),"")</f>
        <v>967.58197499641119</v>
      </c>
      <c r="C46" s="28" t="s">
        <v>39</v>
      </c>
    </row>
    <row r="47" spans="1:3" ht="19.5" customHeight="1" x14ac:dyDescent="0.3">
      <c r="A47" s="139" t="s">
        <v>77</v>
      </c>
      <c r="B47" s="107">
        <f>IFERROR((B46-B6)/B6,"")</f>
        <v>-0.22593442000287103</v>
      </c>
      <c r="C47" s="28" t="s">
        <v>47</v>
      </c>
    </row>
    <row r="48" spans="1:3" ht="7.5" customHeight="1" x14ac:dyDescent="0.3"/>
    <row r="49" spans="1:3" ht="19.5" customHeight="1" x14ac:dyDescent="0.3">
      <c r="A49" s="199" t="s">
        <v>78</v>
      </c>
      <c r="B49" s="199"/>
      <c r="C49" s="199"/>
    </row>
    <row r="50" spans="1:3" ht="18" customHeight="1" x14ac:dyDescent="0.3">
      <c r="A50" s="16" t="s">
        <v>79</v>
      </c>
      <c r="B50" s="30">
        <f>IFERROR(B6*B7,"")</f>
        <v>300000</v>
      </c>
      <c r="C50" s="18" t="s">
        <v>80</v>
      </c>
    </row>
    <row r="51" spans="1:3" ht="18" customHeight="1" x14ac:dyDescent="0.3">
      <c r="A51" s="16" t="s">
        <v>213</v>
      </c>
      <c r="B51" s="30">
        <f>IFERROR(B9-B10,"")</f>
        <v>-5000</v>
      </c>
      <c r="C51" s="18" t="s">
        <v>80</v>
      </c>
    </row>
    <row r="52" spans="1:3" ht="18" customHeight="1" x14ac:dyDescent="0.3">
      <c r="A52" s="16" t="s">
        <v>214</v>
      </c>
      <c r="B52" s="22">
        <f>IFERROR(B6/B8,"")</f>
        <v>29.761904761904763</v>
      </c>
      <c r="C52" s="18" t="s">
        <v>60</v>
      </c>
    </row>
    <row r="53" spans="1:3" ht="18" customHeight="1" x14ac:dyDescent="0.3">
      <c r="A53" s="16" t="s">
        <v>184</v>
      </c>
      <c r="B53" s="22">
        <f>IFERROR((B6*B7+B9-B10)/B14,"")</f>
        <v>24.583333333333332</v>
      </c>
      <c r="C53" s="18" t="s">
        <v>60</v>
      </c>
    </row>
    <row r="54" spans="1:3" ht="18" customHeight="1" x14ac:dyDescent="0.3">
      <c r="A54" s="16" t="s">
        <v>200</v>
      </c>
      <c r="B54" s="31">
        <f>B15</f>
        <v>0.27</v>
      </c>
      <c r="C54" s="18" t="s">
        <v>47</v>
      </c>
    </row>
    <row r="55" spans="1:3" ht="18" customHeight="1" x14ac:dyDescent="0.3">
      <c r="A55" s="16" t="s">
        <v>215</v>
      </c>
      <c r="B55" s="31">
        <f>B16</f>
        <v>0.08</v>
      </c>
      <c r="C55" s="18" t="s">
        <v>47</v>
      </c>
    </row>
    <row r="57" spans="1:3" ht="33.75" customHeight="1" x14ac:dyDescent="0.3">
      <c r="A57" s="203" t="s">
        <v>84</v>
      </c>
      <c r="B57" s="203"/>
      <c r="C57" s="203"/>
    </row>
    <row r="58" spans="1:3" ht="24" customHeight="1" x14ac:dyDescent="0.3">
      <c r="A58" s="204" t="s">
        <v>85</v>
      </c>
      <c r="B58" s="204"/>
      <c r="C58" s="204"/>
    </row>
    <row r="59" spans="1:3" ht="7.5" customHeight="1" x14ac:dyDescent="0.3"/>
    <row r="60" spans="1:3" ht="19.5" customHeight="1" x14ac:dyDescent="0.3">
      <c r="A60" s="199" t="s">
        <v>86</v>
      </c>
      <c r="B60" s="199"/>
      <c r="C60" s="199"/>
    </row>
    <row r="61" spans="1:3" ht="18" customHeight="1" x14ac:dyDescent="0.3">
      <c r="A61" s="11" t="s">
        <v>38</v>
      </c>
      <c r="B61" s="32">
        <f>B6</f>
        <v>1250</v>
      </c>
      <c r="C61" s="33" t="s">
        <v>39</v>
      </c>
    </row>
    <row r="62" spans="1:3" ht="18" customHeight="1" x14ac:dyDescent="0.3">
      <c r="A62" s="11" t="s">
        <v>76</v>
      </c>
      <c r="B62" s="32">
        <f>B46</f>
        <v>967.58197499641119</v>
      </c>
      <c r="C62" s="33" t="s">
        <v>39</v>
      </c>
    </row>
    <row r="63" spans="1:3" ht="19.5" customHeight="1" x14ac:dyDescent="0.3">
      <c r="A63" s="34" t="s">
        <v>87</v>
      </c>
      <c r="B63" s="35">
        <f>B47</f>
        <v>-0.22593442000287103</v>
      </c>
      <c r="C63" s="36" t="s">
        <v>47</v>
      </c>
    </row>
    <row r="64" spans="1:3" ht="7.5" customHeight="1" x14ac:dyDescent="0.3"/>
    <row r="65" spans="1:3" ht="19.5" customHeight="1" x14ac:dyDescent="0.3">
      <c r="A65" s="199" t="s">
        <v>88</v>
      </c>
      <c r="B65" s="199"/>
      <c r="C65" s="199"/>
    </row>
    <row r="66" spans="1:3" ht="21.75" customHeight="1" x14ac:dyDescent="0.3">
      <c r="A66" s="11" t="s">
        <v>216</v>
      </c>
      <c r="B66" s="37" t="str">
        <f>IF(B30="","— Enter Data —",IF(B30&gt;0.2,"STRONG BUY",IF(B30&gt;0.1,"BUY",IF(B30&gt;=-0.1,"HOLD",IF(B30&gt;=-0.2,"SELL","STRONG SELL")))))</f>
        <v>SELL</v>
      </c>
      <c r="C66" s="38"/>
    </row>
    <row r="67" spans="1:3" ht="21.75" customHeight="1" x14ac:dyDescent="0.3">
      <c r="A67" s="11" t="s">
        <v>188</v>
      </c>
      <c r="B67" s="37" t="str">
        <f>IF(B34="","— Enter Data —",IF(B34&gt;0.2,"STRONG BUY",IF(B34&gt;0.1,"BUY",IF(B34&gt;=-0.1,"HOLD",IF(B34&gt;=-0.2,"SELL","STRONG SELL")))))</f>
        <v>HOLD</v>
      </c>
      <c r="C67" s="38"/>
    </row>
    <row r="68" spans="1:3" ht="21.75" customHeight="1" x14ac:dyDescent="0.3">
      <c r="A68" s="11" t="s">
        <v>217</v>
      </c>
      <c r="B68" s="37" t="str">
        <f>IF(B160="","— Enter Data —",IF(B160&gt;0.2,"STRONG BUY",IF(B160&gt;0.1,"BUY",IF(B160&gt;=-0.1,"HOLD",IF(B160&gt;=-0.2,"SELL","STRONG SELL")))))</f>
        <v>STRONG SELL</v>
      </c>
      <c r="C68" s="38"/>
    </row>
    <row r="69" spans="1:3" ht="7.5" customHeight="1" x14ac:dyDescent="0.3"/>
    <row r="70" spans="1:3" ht="19.5" customHeight="1" x14ac:dyDescent="0.3">
      <c r="A70" s="199" t="s">
        <v>93</v>
      </c>
      <c r="B70" s="199"/>
      <c r="C70" s="199"/>
    </row>
    <row r="71" spans="1:3" ht="18" customHeight="1" x14ac:dyDescent="0.3">
      <c r="A71" s="11" t="s">
        <v>94</v>
      </c>
      <c r="B71" s="39">
        <f>COUNTIF(B66,"*BUY*")+COUNTIF(B67,"*BUY*")+COUNTIF(B68,"*BUY*")</f>
        <v>0</v>
      </c>
      <c r="C71" s="33" t="s">
        <v>190</v>
      </c>
    </row>
    <row r="72" spans="1:3" ht="18" customHeight="1" x14ac:dyDescent="0.3">
      <c r="A72" s="11" t="s">
        <v>96</v>
      </c>
      <c r="B72" s="40">
        <f>COUNTIF(B66,"HOLD")+COUNTIF(B67,"HOLD")+COUNTIF(B68,"HOLD")</f>
        <v>1</v>
      </c>
      <c r="C72" s="33" t="s">
        <v>190</v>
      </c>
    </row>
    <row r="73" spans="1:3" ht="18" customHeight="1" x14ac:dyDescent="0.3">
      <c r="A73" s="11" t="s">
        <v>97</v>
      </c>
      <c r="B73" s="41">
        <f>COUNTIF(B66,"*SELL*")+COUNTIF(B67,"*SELL*")+COUNTIF(B68,"*SELL*")</f>
        <v>2</v>
      </c>
      <c r="C73" s="33" t="s">
        <v>190</v>
      </c>
    </row>
    <row r="74" spans="1:3" ht="9.75" customHeight="1" x14ac:dyDescent="0.3"/>
    <row r="75" spans="1:3" ht="19.5" customHeight="1" x14ac:dyDescent="0.3">
      <c r="A75" s="200" t="s">
        <v>98</v>
      </c>
      <c r="B75" s="200"/>
      <c r="C75" s="200"/>
    </row>
    <row r="76" spans="1:3" ht="37.5" customHeight="1" x14ac:dyDescent="0.3">
      <c r="A76" s="42" t="s">
        <v>99</v>
      </c>
      <c r="B76" s="43" t="str">
        <f>IF(B47="","— Enter Data —",IF(B47&gt;0.2,"STRONG BUY",IF(B47&gt;0.1,"BUY",IF(B47&gt;=-0.1,"HOLD",IF(B47&gt;=-0.2,"SELL","STRONG SELL")))))</f>
        <v>STRONG SELL</v>
      </c>
      <c r="C76" s="11"/>
    </row>
    <row r="77" spans="1:3" ht="18" customHeight="1" x14ac:dyDescent="0.3">
      <c r="A77" s="44" t="s">
        <v>100</v>
      </c>
      <c r="B77" s="45">
        <f>B47</f>
        <v>-0.22593442000287103</v>
      </c>
      <c r="C77" s="33" t="s">
        <v>101</v>
      </c>
    </row>
    <row r="78" spans="1:3" ht="6" customHeight="1" x14ac:dyDescent="0.3"/>
    <row r="79" spans="1:3" ht="36" customHeight="1" x14ac:dyDescent="0.3">
      <c r="A79" s="201" t="s">
        <v>102</v>
      </c>
      <c r="B79" s="201"/>
      <c r="C79" s="201"/>
    </row>
    <row r="82" spans="1:3" ht="33.75" customHeight="1" x14ac:dyDescent="0.3">
      <c r="A82" s="202" t="s">
        <v>103</v>
      </c>
      <c r="B82" s="202"/>
      <c r="C82" s="202"/>
    </row>
    <row r="83" spans="1:3" ht="25.5" customHeight="1" x14ac:dyDescent="0.3">
      <c r="A83" s="198" t="s">
        <v>104</v>
      </c>
      <c r="B83" s="198"/>
      <c r="C83" s="198"/>
    </row>
    <row r="84" spans="1:3" ht="7.5" customHeight="1" x14ac:dyDescent="0.3"/>
    <row r="85" spans="1:3" ht="19.5" customHeight="1" x14ac:dyDescent="0.3">
      <c r="A85" s="196" t="s">
        <v>105</v>
      </c>
      <c r="B85" s="196"/>
      <c r="C85" s="196"/>
    </row>
    <row r="86" spans="1:3" ht="19.5" customHeight="1" x14ac:dyDescent="0.3">
      <c r="A86" s="11" t="s">
        <v>106</v>
      </c>
      <c r="B86" s="178">
        <v>0.2</v>
      </c>
      <c r="C86" s="33" t="s">
        <v>191</v>
      </c>
    </row>
    <row r="87" spans="1:3" ht="19.5" customHeight="1" x14ac:dyDescent="0.3">
      <c r="A87" s="11" t="s">
        <v>108</v>
      </c>
      <c r="B87" s="178">
        <v>0.12</v>
      </c>
      <c r="C87" s="33" t="s">
        <v>192</v>
      </c>
    </row>
    <row r="88" spans="1:3" ht="7.5" customHeight="1" x14ac:dyDescent="0.3"/>
    <row r="89" spans="1:3" ht="19.5" customHeight="1" x14ac:dyDescent="0.3">
      <c r="A89" s="197" t="s">
        <v>110</v>
      </c>
      <c r="B89" s="197"/>
      <c r="C89" s="197"/>
    </row>
    <row r="90" spans="1:3" ht="18" customHeight="1" x14ac:dyDescent="0.3">
      <c r="A90" s="46" t="s">
        <v>111</v>
      </c>
      <c r="B90" s="46" t="s">
        <v>112</v>
      </c>
      <c r="C90" s="46" t="s">
        <v>113</v>
      </c>
    </row>
    <row r="91" spans="1:3" ht="25.5" customHeight="1" x14ac:dyDescent="0.3">
      <c r="A91" s="47" t="s">
        <v>114</v>
      </c>
      <c r="B91" s="110">
        <f>IFERROR(B46*(1-B86*1.5),"")</f>
        <v>677.30738249748777</v>
      </c>
      <c r="C91" s="49" t="str">
        <f>IF(OR(B6="",B91=""),"—",IF(ABS(B6-B91)/B91&lt;0.005,"  ◆  CMP IS HERE",IF(B6&lt;B91,"  ✅  BELOW — ENTRY OPEN","  ⬆  ABOVE — NOT YET")))</f>
        <v xml:space="preserve">  ⬆  ABOVE — NOT YET</v>
      </c>
    </row>
    <row r="92" spans="1:3" ht="25.5" customHeight="1" x14ac:dyDescent="0.3">
      <c r="A92" s="50" t="s">
        <v>115</v>
      </c>
      <c r="B92" s="114">
        <f>IFERROR(B46*(1-B86),"")</f>
        <v>774.06557999712902</v>
      </c>
      <c r="C92" s="52" t="str">
        <f>IF(OR(B6="",B92=""),"—",IF(ABS(B6-B92)/B92&lt;0.005,"  ◆  CMP IS HERE",IF(B6&lt;B92,"  ✅  BELOW — ENTRY OPEN","  ⬆  ABOVE — NOT YET")))</f>
        <v xml:space="preserve">  ⬆  ABOVE — NOT YET</v>
      </c>
    </row>
    <row r="93" spans="1:3" ht="25.5" customHeight="1" x14ac:dyDescent="0.3">
      <c r="A93" s="53" t="s">
        <v>116</v>
      </c>
      <c r="B93" s="118">
        <f>IFERROR(B46*(1-B86*0.5),"")</f>
        <v>870.82377749677005</v>
      </c>
      <c r="C93" s="55" t="str">
        <f>IF(OR(B6="",B93=""),"—",IF(ABS(B6-B93)/B93&lt;0.005,"  ◆  CMP IS HERE",IF(B6&lt;B93,"  ✅  BELOW — ENTRY OPEN","  ⬆  ABOVE — NOT YET")))</f>
        <v xml:space="preserve">  ⬆  ABOVE — NOT YET</v>
      </c>
    </row>
    <row r="94" spans="1:3" ht="25.5" customHeight="1" x14ac:dyDescent="0.3">
      <c r="A94" s="56" t="s">
        <v>117</v>
      </c>
      <c r="B94" s="122">
        <f>B46</f>
        <v>967.58197499641119</v>
      </c>
      <c r="C94" s="58" t="str">
        <f>IF(OR(B6="",B94=""),"—",IF(ABS(B6-B94)/B94&lt;0.005,"  ◆  CMP IS HERE",IF(B6&lt;B94,"  ✅  BELOW — ENTRY OPEN","  ⬆  ABOVE — NOT YET")))</f>
        <v xml:space="preserve">  ⬆  ABOVE — NOT YET</v>
      </c>
    </row>
    <row r="95" spans="1:3" ht="25.5" customHeight="1" x14ac:dyDescent="0.3">
      <c r="A95" s="59" t="s">
        <v>118</v>
      </c>
      <c r="B95" s="126">
        <f>IFERROR(B46*1.15,"")</f>
        <v>1112.7192712458727</v>
      </c>
      <c r="C95" s="61" t="str">
        <f>IF(OR(B6="",B95=""),"—",IF(ABS(B6-B95)/B95&lt;0.005,"  ◆  CMP IS HERE",IF(B6&lt;B95,"  ✅  BELOW — ENTRY OPEN","  ⬆  ABOVE — NOT YET")))</f>
        <v xml:space="preserve">  ⬆  ABOVE — NOT YET</v>
      </c>
    </row>
    <row r="96" spans="1:3" ht="25.5" customHeight="1" x14ac:dyDescent="0.3">
      <c r="A96" s="62" t="s">
        <v>119</v>
      </c>
      <c r="B96" s="130">
        <f>IFERROR(B46*1.25,"")</f>
        <v>1209.477468745514</v>
      </c>
      <c r="C96" s="64" t="str">
        <f>IF(OR(B6="",B96=""),"—",IF(ABS(B6-B96)/B96&lt;0.005,"  ◆  CMP IS HERE",IF(B6&lt;B96,"  ✅  BELOW — ENTRY OPEN","  ⬆  ABOVE — NOT YET")))</f>
        <v xml:space="preserve">  ⬆  ABOVE — NOT YET</v>
      </c>
    </row>
    <row r="97" spans="1:3" ht="25.5" customHeight="1" x14ac:dyDescent="0.3">
      <c r="A97" s="65" t="s">
        <v>120</v>
      </c>
      <c r="B97" s="134">
        <f>IFERROR(B91*(1-B87),"")</f>
        <v>596.03049659778924</v>
      </c>
      <c r="C97" s="67" t="str">
        <f>IF(OR(B6="",B97=""),"—",IF(ABS(B6-B97)/B97&lt;0.005,"  ◆  CMP IS HERE",IF(B6&lt;B97,"  ✅  BELOW — ENTRY OPEN","  ⬆  ABOVE — NOT YET")))</f>
        <v xml:space="preserve">  ⬆  ABOVE — NOT YET</v>
      </c>
    </row>
    <row r="98" spans="1:3" ht="25.5" customHeight="1" x14ac:dyDescent="0.3">
      <c r="A98" s="184"/>
      <c r="B98" s="187"/>
      <c r="C98" s="186"/>
    </row>
    <row r="99" spans="1:3" ht="69" customHeight="1" x14ac:dyDescent="0.3">
      <c r="A99" s="198" t="s">
        <v>350</v>
      </c>
      <c r="B99" s="198"/>
      <c r="C99" s="198"/>
    </row>
    <row r="100" spans="1:3" ht="7.5" customHeight="1" x14ac:dyDescent="0.3"/>
    <row r="101" spans="1:3" ht="19.5" customHeight="1" x14ac:dyDescent="0.3">
      <c r="A101" s="196" t="s">
        <v>121</v>
      </c>
      <c r="B101" s="196"/>
      <c r="C101" s="196"/>
    </row>
    <row r="102" spans="1:3" ht="19.5" customHeight="1" x14ac:dyDescent="0.3">
      <c r="A102" s="11" t="s">
        <v>122</v>
      </c>
      <c r="B102" s="68">
        <f>B6</f>
        <v>1250</v>
      </c>
      <c r="C102" s="33" t="s">
        <v>39</v>
      </c>
    </row>
    <row r="103" spans="1:3" ht="27.75" customHeight="1" x14ac:dyDescent="0.3">
      <c r="A103" s="69" t="s">
        <v>123</v>
      </c>
      <c r="B103" s="70" t="str">
        <f>IF(OR(B6="",B46=""),"Enter data above",IF(B6&lt;=B46*(1-B91*1.5),"** STRONG BUY ** Excellent Entry",IF(B6&lt;=B46*(1-B91),"BUY - Good Entry",IF(B6&lt;=B46*(1-B91*0.5),"ACCUMULATE - Reasonable Entry",IF(B6&lt;=B46,"Near Fair Value - Cautious",IF(B6&lt;=B46*1.15,"Above Fair Value - Consider Trimming",IF(B6&lt;=B46*1.25,"EXPENSIVE - Consider Exiting","OVERVALUED - Exit Now")))))))</f>
        <v>OVERVALUED - Exit Now</v>
      </c>
      <c r="C103" s="71"/>
    </row>
    <row r="104" spans="1:3" ht="7.5" customHeight="1" x14ac:dyDescent="0.3"/>
    <row r="105" spans="1:3" ht="19.5" customHeight="1" x14ac:dyDescent="0.3">
      <c r="A105" s="197" t="s">
        <v>124</v>
      </c>
      <c r="B105" s="197"/>
      <c r="C105" s="197"/>
    </row>
    <row r="106" spans="1:3" ht="19.5" customHeight="1" x14ac:dyDescent="0.3">
      <c r="A106" s="72" t="s">
        <v>125</v>
      </c>
      <c r="B106" s="73" t="s">
        <v>126</v>
      </c>
      <c r="C106" s="74"/>
    </row>
    <row r="107" spans="1:3" ht="19.5" customHeight="1" x14ac:dyDescent="0.3">
      <c r="A107" s="75" t="s">
        <v>127</v>
      </c>
      <c r="B107" s="76" t="s">
        <v>128</v>
      </c>
      <c r="C107" s="76"/>
    </row>
    <row r="108" spans="1:3" ht="19.5" customHeight="1" x14ac:dyDescent="0.3">
      <c r="A108" s="77" t="s">
        <v>129</v>
      </c>
      <c r="B108" s="78" t="s">
        <v>130</v>
      </c>
      <c r="C108" s="78"/>
    </row>
    <row r="109" spans="1:3" ht="19.5" customHeight="1" x14ac:dyDescent="0.3">
      <c r="A109" s="79" t="s">
        <v>131</v>
      </c>
      <c r="B109" s="80" t="s">
        <v>132</v>
      </c>
      <c r="C109" s="80"/>
    </row>
    <row r="110" spans="1:3" ht="19.5" customHeight="1" x14ac:dyDescent="0.3">
      <c r="A110" s="81" t="s">
        <v>133</v>
      </c>
      <c r="B110" s="82" t="s">
        <v>134</v>
      </c>
      <c r="C110" s="82"/>
    </row>
    <row r="111" spans="1:3" ht="19.5" customHeight="1" x14ac:dyDescent="0.3">
      <c r="A111" s="83" t="s">
        <v>135</v>
      </c>
      <c r="B111" s="84" t="s">
        <v>136</v>
      </c>
      <c r="C111" s="84"/>
    </row>
    <row r="112" spans="1:3" ht="19.5" customHeight="1" x14ac:dyDescent="0.3">
      <c r="A112" s="85" t="s">
        <v>137</v>
      </c>
      <c r="B112" s="86" t="s">
        <v>138</v>
      </c>
      <c r="C112" s="87"/>
    </row>
    <row r="113" spans="1:8" ht="7.5" customHeight="1" x14ac:dyDescent="0.3"/>
    <row r="114" spans="1:8" ht="43.5" customHeight="1" x14ac:dyDescent="0.3">
      <c r="A114" s="198" t="s">
        <v>139</v>
      </c>
      <c r="B114" s="198"/>
      <c r="C114" s="198"/>
    </row>
    <row r="117" spans="1:8" ht="36" customHeight="1" x14ac:dyDescent="0.3">
      <c r="A117" s="222" t="s">
        <v>218</v>
      </c>
      <c r="B117" s="222"/>
      <c r="C117" s="222"/>
      <c r="D117" s="222"/>
      <c r="E117" s="222"/>
      <c r="F117" s="222"/>
      <c r="G117" s="222"/>
      <c r="H117" s="222"/>
    </row>
    <row r="118" spans="1:8" ht="30" customHeight="1" x14ac:dyDescent="0.3">
      <c r="A118" s="198" t="s">
        <v>351</v>
      </c>
      <c r="B118" s="198"/>
      <c r="C118" s="198"/>
      <c r="D118" s="198"/>
      <c r="E118" s="198"/>
      <c r="F118" s="198"/>
      <c r="G118" s="198"/>
      <c r="H118" s="198"/>
    </row>
    <row r="119" spans="1:8" ht="9.75" customHeight="1" x14ac:dyDescent="0.3"/>
    <row r="120" spans="1:8" ht="21.75" customHeight="1" x14ac:dyDescent="0.3">
      <c r="A120" s="220" t="s">
        <v>352</v>
      </c>
      <c r="B120" s="220"/>
      <c r="C120" s="220"/>
      <c r="D120" s="220"/>
      <c r="E120" s="220"/>
      <c r="F120" s="220"/>
      <c r="G120" s="220"/>
      <c r="H120" s="220"/>
    </row>
    <row r="121" spans="1:8" ht="19.5" customHeight="1" x14ac:dyDescent="0.3">
      <c r="A121" s="11" t="s">
        <v>221</v>
      </c>
      <c r="B121" s="140">
        <f>B23</f>
        <v>0.12</v>
      </c>
      <c r="C121" s="33" t="s">
        <v>47</v>
      </c>
      <c r="D121" s="109"/>
      <c r="E121" s="109"/>
      <c r="F121" s="109"/>
      <c r="G121" s="109"/>
      <c r="H121" s="109"/>
    </row>
    <row r="122" spans="1:8" ht="19.5" customHeight="1" x14ac:dyDescent="0.3">
      <c r="A122" s="11" t="s">
        <v>222</v>
      </c>
      <c r="B122" s="178">
        <v>0.14000000000000001</v>
      </c>
      <c r="C122" s="33" t="s">
        <v>47</v>
      </c>
      <c r="D122" s="109"/>
      <c r="E122" s="109"/>
      <c r="F122" s="109"/>
      <c r="G122" s="109"/>
      <c r="H122" s="109"/>
    </row>
    <row r="123" spans="1:8" ht="19.5" customHeight="1" x14ac:dyDescent="0.3">
      <c r="A123" s="11" t="s">
        <v>223</v>
      </c>
      <c r="B123" s="178">
        <v>0.1</v>
      </c>
      <c r="C123" s="33" t="s">
        <v>47</v>
      </c>
      <c r="D123" s="109"/>
      <c r="E123" s="109"/>
      <c r="F123" s="109"/>
      <c r="G123" s="109"/>
      <c r="H123" s="109"/>
    </row>
    <row r="124" spans="1:8" ht="19.5" customHeight="1" x14ac:dyDescent="0.3">
      <c r="A124" s="11" t="s">
        <v>224</v>
      </c>
      <c r="B124" s="140">
        <f>B25</f>
        <v>0.04</v>
      </c>
      <c r="C124" s="33" t="s">
        <v>47</v>
      </c>
      <c r="D124" s="109"/>
      <c r="E124" s="109"/>
      <c r="F124" s="109"/>
      <c r="G124" s="109"/>
      <c r="H124" s="109"/>
    </row>
    <row r="125" spans="1:8" ht="19.5" customHeight="1" x14ac:dyDescent="0.3">
      <c r="A125" s="11" t="s">
        <v>225</v>
      </c>
      <c r="B125" s="140">
        <f>B15</f>
        <v>0.27</v>
      </c>
      <c r="C125" s="33" t="s">
        <v>47</v>
      </c>
      <c r="D125" s="109"/>
      <c r="E125" s="109"/>
      <c r="F125" s="109"/>
      <c r="G125" s="109"/>
      <c r="H125" s="109"/>
    </row>
    <row r="126" spans="1:8" ht="19.5" customHeight="1" x14ac:dyDescent="0.3">
      <c r="A126" s="11" t="s">
        <v>153</v>
      </c>
      <c r="B126" s="178">
        <v>0.25</v>
      </c>
      <c r="C126" s="33" t="s">
        <v>47</v>
      </c>
      <c r="D126" s="109"/>
      <c r="E126" s="109"/>
      <c r="F126" s="109"/>
      <c r="G126" s="109"/>
      <c r="H126" s="109"/>
    </row>
    <row r="127" spans="1:8" ht="19.5" customHeight="1" x14ac:dyDescent="0.3">
      <c r="A127" s="11" t="s">
        <v>154</v>
      </c>
      <c r="B127" s="178">
        <v>0.03</v>
      </c>
      <c r="C127" s="33" t="s">
        <v>47</v>
      </c>
      <c r="D127" s="109"/>
      <c r="E127" s="109"/>
      <c r="F127" s="109"/>
      <c r="G127" s="109"/>
      <c r="H127" s="109"/>
    </row>
    <row r="128" spans="1:8" ht="19.5" customHeight="1" x14ac:dyDescent="0.3">
      <c r="A128" s="11" t="s">
        <v>226</v>
      </c>
      <c r="B128" s="178">
        <v>0.04</v>
      </c>
      <c r="C128" s="33" t="s">
        <v>47</v>
      </c>
      <c r="D128" s="109"/>
      <c r="E128" s="109"/>
      <c r="F128" s="109"/>
      <c r="G128" s="109"/>
      <c r="H128" s="109"/>
    </row>
    <row r="129" spans="1:8" ht="19.5" customHeight="1" x14ac:dyDescent="0.3">
      <c r="A129" s="11" t="s">
        <v>156</v>
      </c>
      <c r="B129" s="178">
        <v>0.02</v>
      </c>
      <c r="C129" s="33" t="s">
        <v>47</v>
      </c>
      <c r="D129" s="109"/>
      <c r="E129" s="109"/>
      <c r="F129" s="109"/>
      <c r="G129" s="109"/>
      <c r="H129" s="109"/>
    </row>
    <row r="130" spans="1:8" ht="7.5" customHeight="1" x14ac:dyDescent="0.3"/>
    <row r="131" spans="1:8" ht="21.75" customHeight="1" x14ac:dyDescent="0.3">
      <c r="A131" s="220" t="s">
        <v>227</v>
      </c>
      <c r="B131" s="220"/>
      <c r="C131" s="220"/>
      <c r="D131" s="220"/>
      <c r="E131" s="220"/>
      <c r="F131" s="220"/>
      <c r="G131" s="220"/>
      <c r="H131" s="220"/>
    </row>
    <row r="132" spans="1:8" ht="18" customHeight="1" x14ac:dyDescent="0.3">
      <c r="A132" s="11" t="s">
        <v>228</v>
      </c>
      <c r="B132" s="141">
        <f>B13</f>
        <v>45000</v>
      </c>
      <c r="C132" s="33" t="s">
        <v>80</v>
      </c>
      <c r="D132" s="109"/>
      <c r="E132" s="109"/>
      <c r="F132" s="109"/>
      <c r="G132" s="109"/>
      <c r="H132" s="109"/>
    </row>
    <row r="133" spans="1:8" ht="18" customHeight="1" x14ac:dyDescent="0.3">
      <c r="A133" s="11" t="s">
        <v>229</v>
      </c>
      <c r="B133" s="141">
        <f>B14</f>
        <v>12000</v>
      </c>
      <c r="C133" s="33" t="s">
        <v>80</v>
      </c>
      <c r="D133" s="109"/>
      <c r="E133" s="109"/>
      <c r="F133" s="109"/>
      <c r="G133" s="109"/>
      <c r="H133" s="109"/>
    </row>
    <row r="134" spans="1:8" ht="18" customHeight="1" x14ac:dyDescent="0.3">
      <c r="A134" s="11" t="s">
        <v>230</v>
      </c>
      <c r="B134" s="141">
        <f>B9</f>
        <v>3000</v>
      </c>
      <c r="C134" s="33" t="s">
        <v>80</v>
      </c>
      <c r="D134" s="109"/>
      <c r="E134" s="109"/>
      <c r="F134" s="109"/>
      <c r="G134" s="109"/>
      <c r="H134" s="109"/>
    </row>
    <row r="135" spans="1:8" ht="18" customHeight="1" x14ac:dyDescent="0.3">
      <c r="A135" s="11" t="s">
        <v>231</v>
      </c>
      <c r="B135" s="141">
        <f>B10</f>
        <v>8000</v>
      </c>
      <c r="C135" s="33" t="s">
        <v>80</v>
      </c>
      <c r="D135" s="109"/>
      <c r="E135" s="109"/>
      <c r="F135" s="109"/>
      <c r="G135" s="109"/>
      <c r="H135" s="109"/>
    </row>
    <row r="136" spans="1:8" ht="18" customHeight="1" x14ac:dyDescent="0.3">
      <c r="A136" s="11" t="s">
        <v>232</v>
      </c>
      <c r="B136" s="141">
        <f>B7</f>
        <v>240</v>
      </c>
      <c r="C136" s="33" t="s">
        <v>41</v>
      </c>
      <c r="D136" s="109"/>
      <c r="E136" s="109"/>
      <c r="F136" s="109"/>
      <c r="G136" s="109"/>
      <c r="H136" s="109"/>
    </row>
    <row r="137" spans="1:8" ht="18" customHeight="1" x14ac:dyDescent="0.3">
      <c r="A137" s="11" t="s">
        <v>122</v>
      </c>
      <c r="B137" s="141">
        <f>B6</f>
        <v>1250</v>
      </c>
      <c r="C137" s="33" t="s">
        <v>39</v>
      </c>
      <c r="D137" s="109"/>
      <c r="E137" s="109"/>
      <c r="F137" s="109"/>
      <c r="G137" s="109"/>
      <c r="H137" s="109"/>
    </row>
    <row r="138" spans="1:8" ht="9.75" customHeight="1" x14ac:dyDescent="0.3"/>
    <row r="139" spans="1:8" ht="21.75" customHeight="1" x14ac:dyDescent="0.3">
      <c r="A139" s="221" t="s">
        <v>233</v>
      </c>
      <c r="B139" s="221"/>
      <c r="C139" s="221"/>
      <c r="D139" s="221"/>
      <c r="E139" s="221"/>
      <c r="F139" s="221"/>
      <c r="G139" s="221"/>
      <c r="H139" s="221"/>
    </row>
    <row r="140" spans="1:8" ht="21.75" customHeight="1" x14ac:dyDescent="0.3">
      <c r="A140" s="1" t="s">
        <v>234</v>
      </c>
      <c r="B140" s="91" t="s">
        <v>158</v>
      </c>
      <c r="C140" s="91" t="s">
        <v>159</v>
      </c>
      <c r="D140" s="91" t="s">
        <v>160</v>
      </c>
      <c r="E140" s="91" t="s">
        <v>161</v>
      </c>
      <c r="F140" s="91" t="s">
        <v>162</v>
      </c>
      <c r="G140" s="91" t="s">
        <v>163</v>
      </c>
      <c r="H140" s="142" t="s">
        <v>164</v>
      </c>
    </row>
    <row r="141" spans="1:8" ht="19.5" customHeight="1" x14ac:dyDescent="0.3">
      <c r="A141" s="11" t="s">
        <v>235</v>
      </c>
      <c r="B141" s="143">
        <f>B13</f>
        <v>45000</v>
      </c>
      <c r="C141" s="144">
        <f>IFERROR(B141*(1+B122),"")</f>
        <v>51300.000000000007</v>
      </c>
      <c r="D141" s="144">
        <f>IFERROR(C141*(1+B122),"")</f>
        <v>58482.000000000015</v>
      </c>
      <c r="E141" s="144">
        <f>IFERROR(D141*(1+B122),"")</f>
        <v>66669.480000000025</v>
      </c>
      <c r="F141" s="144">
        <f>IFERROR(E141*(1+B123),"")</f>
        <v>73336.428000000029</v>
      </c>
      <c r="G141" s="144">
        <f>IFERROR(F141*(1+B123),"")</f>
        <v>80670.070800000045</v>
      </c>
      <c r="H141" s="145"/>
    </row>
    <row r="142" spans="1:8" ht="19.5" customHeight="1" x14ac:dyDescent="0.3">
      <c r="A142" s="11" t="s">
        <v>236</v>
      </c>
      <c r="B142" s="143">
        <f>B14</f>
        <v>12000</v>
      </c>
      <c r="C142" s="144">
        <f>IFERROR(C141*B125,"")</f>
        <v>13851.000000000004</v>
      </c>
      <c r="D142" s="144">
        <f>IFERROR(D141*B125,"")</f>
        <v>15790.140000000005</v>
      </c>
      <c r="E142" s="144">
        <f>IFERROR(E141*B125,"")</f>
        <v>18000.759600000009</v>
      </c>
      <c r="F142" s="144">
        <f>IFERROR(F141*B125,"")</f>
        <v>19800.83556000001</v>
      </c>
      <c r="G142" s="144">
        <f>IFERROR(G141*B125,"")</f>
        <v>21780.919116000012</v>
      </c>
      <c r="H142" s="145"/>
    </row>
    <row r="143" spans="1:8" ht="18" customHeight="1" x14ac:dyDescent="0.3">
      <c r="A143" s="33" t="s">
        <v>237</v>
      </c>
      <c r="B143" s="146">
        <f t="shared" ref="B143:G143" si="0">IFERROR(B142/B141,"")</f>
        <v>0.26666666666666666</v>
      </c>
      <c r="C143" s="146">
        <f t="shared" si="0"/>
        <v>0.27</v>
      </c>
      <c r="D143" s="146">
        <f t="shared" si="0"/>
        <v>0.27</v>
      </c>
      <c r="E143" s="146">
        <f t="shared" si="0"/>
        <v>0.27</v>
      </c>
      <c r="F143" s="146">
        <f t="shared" si="0"/>
        <v>0.27</v>
      </c>
      <c r="G143" s="146">
        <f t="shared" si="0"/>
        <v>0.27</v>
      </c>
      <c r="H143" s="146"/>
    </row>
    <row r="144" spans="1:8" ht="19.5" customHeight="1" x14ac:dyDescent="0.3">
      <c r="A144" s="11" t="s">
        <v>238</v>
      </c>
      <c r="B144" s="144">
        <f>IFERROR(B141*B127,"")</f>
        <v>1350</v>
      </c>
      <c r="C144" s="144">
        <f>IFERROR(C141*B127,"")</f>
        <v>1539.0000000000002</v>
      </c>
      <c r="D144" s="144">
        <f>IFERROR(D141*B127,"")</f>
        <v>1754.4600000000003</v>
      </c>
      <c r="E144" s="144">
        <f>IFERROR(E141*B127,"")</f>
        <v>2000.0844000000006</v>
      </c>
      <c r="F144" s="144">
        <f>IFERROR(F141*B127,"")</f>
        <v>2200.0928400000007</v>
      </c>
      <c r="G144" s="144">
        <f>IFERROR(G141*B127,"")</f>
        <v>2420.1021240000014</v>
      </c>
      <c r="H144" s="145"/>
    </row>
    <row r="145" spans="1:8" ht="19.5" customHeight="1" x14ac:dyDescent="0.3">
      <c r="A145" s="16" t="s">
        <v>239</v>
      </c>
      <c r="B145" s="30">
        <f t="shared" ref="B145:G145" si="1">IFERROR(B142-B144,"")</f>
        <v>10650</v>
      </c>
      <c r="C145" s="30">
        <f t="shared" si="1"/>
        <v>12312.000000000004</v>
      </c>
      <c r="D145" s="30">
        <f t="shared" si="1"/>
        <v>14035.680000000004</v>
      </c>
      <c r="E145" s="30">
        <f t="shared" si="1"/>
        <v>16000.675200000009</v>
      </c>
      <c r="F145" s="30">
        <f t="shared" si="1"/>
        <v>17600.742720000009</v>
      </c>
      <c r="G145" s="30">
        <f t="shared" si="1"/>
        <v>19360.816992000011</v>
      </c>
      <c r="H145" s="145"/>
    </row>
    <row r="146" spans="1:8" ht="19.5" customHeight="1" x14ac:dyDescent="0.3">
      <c r="A146" s="16" t="s">
        <v>240</v>
      </c>
      <c r="B146" s="30">
        <f>IFERROR(B145*B126,"")</f>
        <v>2662.5</v>
      </c>
      <c r="C146" s="30">
        <f>IFERROR(C145*B126,"")</f>
        <v>3078.0000000000009</v>
      </c>
      <c r="D146" s="30">
        <f>IFERROR(D145*B126,"")</f>
        <v>3508.920000000001</v>
      </c>
      <c r="E146" s="30">
        <f>IFERROR(E145*B126,"")</f>
        <v>4000.1688000000022</v>
      </c>
      <c r="F146" s="30">
        <f>IFERROR(F145*B126,"")</f>
        <v>4400.1856800000023</v>
      </c>
      <c r="G146" s="30">
        <f>IFERROR(G145*B126,"")</f>
        <v>4840.2042480000027</v>
      </c>
      <c r="H146" s="145"/>
    </row>
    <row r="147" spans="1:8" ht="19.5" customHeight="1" x14ac:dyDescent="0.3">
      <c r="A147" s="34" t="s">
        <v>241</v>
      </c>
      <c r="B147" s="147">
        <f t="shared" ref="B147:G147" si="2">IFERROR(B145-B146,"")</f>
        <v>7987.5</v>
      </c>
      <c r="C147" s="147">
        <f t="shared" si="2"/>
        <v>9234.0000000000036</v>
      </c>
      <c r="D147" s="147">
        <f t="shared" si="2"/>
        <v>10526.760000000002</v>
      </c>
      <c r="E147" s="147">
        <f t="shared" si="2"/>
        <v>12000.506400000006</v>
      </c>
      <c r="F147" s="147">
        <f t="shared" si="2"/>
        <v>13200.557040000007</v>
      </c>
      <c r="G147" s="147">
        <f t="shared" si="2"/>
        <v>14520.612744000009</v>
      </c>
      <c r="H147" s="93"/>
    </row>
    <row r="148" spans="1:8" ht="19.5" customHeight="1" x14ac:dyDescent="0.3">
      <c r="A148" s="148" t="s">
        <v>242</v>
      </c>
      <c r="B148" s="145">
        <f>IFERROR(-B141*B128,"")</f>
        <v>-1800</v>
      </c>
      <c r="C148" s="145">
        <f>IFERROR(-C141*B128,"")</f>
        <v>-2052.0000000000005</v>
      </c>
      <c r="D148" s="145">
        <f>IFERROR(-D141*B128,"")</f>
        <v>-2339.2800000000007</v>
      </c>
      <c r="E148" s="145">
        <f>IFERROR(-E141*B128,"")</f>
        <v>-2666.7792000000009</v>
      </c>
      <c r="F148" s="145">
        <f>IFERROR(-F141*B128,"")</f>
        <v>-2933.4571200000014</v>
      </c>
      <c r="G148" s="145">
        <f>IFERROR(-G141*B128,"")</f>
        <v>-3226.8028320000017</v>
      </c>
      <c r="H148" s="145"/>
    </row>
    <row r="149" spans="1:8" ht="19.5" customHeight="1" x14ac:dyDescent="0.3">
      <c r="A149" s="148" t="s">
        <v>243</v>
      </c>
      <c r="B149" s="145">
        <f>IFERROR(-B141*B129,"")</f>
        <v>-900</v>
      </c>
      <c r="C149" s="145">
        <f>IFERROR(-C141*B129,"")</f>
        <v>-1026.0000000000002</v>
      </c>
      <c r="D149" s="145">
        <f>IFERROR(-D141*B129,"")</f>
        <v>-1169.6400000000003</v>
      </c>
      <c r="E149" s="145">
        <f>IFERROR(-E141*B129,"")</f>
        <v>-1333.3896000000004</v>
      </c>
      <c r="F149" s="145">
        <f>IFERROR(-F141*B129,"")</f>
        <v>-1466.7285600000007</v>
      </c>
      <c r="G149" s="145">
        <f>IFERROR(-G141*B129,"")</f>
        <v>-1613.4014160000008</v>
      </c>
      <c r="H149" s="145"/>
    </row>
    <row r="150" spans="1:8" ht="19.5" customHeight="1" x14ac:dyDescent="0.3">
      <c r="A150" s="148" t="s">
        <v>244</v>
      </c>
      <c r="B150" s="145">
        <f t="shared" ref="B150:G150" si="3">IFERROR(B144,"")</f>
        <v>1350</v>
      </c>
      <c r="C150" s="145">
        <f t="shared" si="3"/>
        <v>1539.0000000000002</v>
      </c>
      <c r="D150" s="145">
        <f t="shared" si="3"/>
        <v>1754.4600000000003</v>
      </c>
      <c r="E150" s="145">
        <f t="shared" si="3"/>
        <v>2000.0844000000006</v>
      </c>
      <c r="F150" s="145">
        <f t="shared" si="3"/>
        <v>2200.0928400000007</v>
      </c>
      <c r="G150" s="145">
        <f t="shared" si="3"/>
        <v>2420.1021240000014</v>
      </c>
      <c r="H150" s="145"/>
    </row>
    <row r="151" spans="1:8" ht="24" customHeight="1" x14ac:dyDescent="0.3">
      <c r="A151" s="23" t="s">
        <v>245</v>
      </c>
      <c r="B151" s="149"/>
      <c r="C151" s="95">
        <f t="shared" ref="C151:G151" si="4">IFERROR(C147+C150+C148+C149,"")</f>
        <v>7695.0000000000036</v>
      </c>
      <c r="D151" s="95">
        <f t="shared" si="4"/>
        <v>8772.3000000000029</v>
      </c>
      <c r="E151" s="95">
        <f t="shared" si="4"/>
        <v>10000.422000000004</v>
      </c>
      <c r="F151" s="95">
        <f t="shared" si="4"/>
        <v>11000.464200000006</v>
      </c>
      <c r="G151" s="95">
        <f t="shared" si="4"/>
        <v>12100.510620000008</v>
      </c>
      <c r="H151" s="93"/>
    </row>
    <row r="152" spans="1:8" ht="4.5" customHeight="1" x14ac:dyDescent="0.3"/>
    <row r="153" spans="1:8" ht="19.5" customHeight="1" x14ac:dyDescent="0.3">
      <c r="A153" s="150" t="s">
        <v>246</v>
      </c>
      <c r="B153" s="151"/>
      <c r="C153" s="151"/>
      <c r="D153" s="151"/>
      <c r="E153" s="151"/>
      <c r="F153" s="151"/>
      <c r="G153" s="151"/>
      <c r="H153" s="152">
        <f>IFERROR(G151*(1+B124)/(B121-B124),"")</f>
        <v>157306.63806000014</v>
      </c>
    </row>
    <row r="154" spans="1:8" ht="18" customHeight="1" x14ac:dyDescent="0.3">
      <c r="A154" s="36" t="s">
        <v>247</v>
      </c>
      <c r="B154" s="153" t="s">
        <v>248</v>
      </c>
      <c r="C154" s="154">
        <f>IFERROR(1/(1+B121)^1,"")</f>
        <v>0.89285714285714279</v>
      </c>
      <c r="D154" s="154">
        <f>IFERROR(1/(1+B121)^2,"")</f>
        <v>0.79719387755102034</v>
      </c>
      <c r="E154" s="154">
        <f>IFERROR(1/(1+B121)^3,"")</f>
        <v>0.71178024781341087</v>
      </c>
      <c r="F154" s="154">
        <f>IFERROR(1/(1+B121)^4,"")</f>
        <v>0.63551807840483121</v>
      </c>
      <c r="G154" s="154">
        <f>IFERROR(1/(1+B121)^5,"")</f>
        <v>0.56742685571859919</v>
      </c>
      <c r="H154" s="155">
        <f>IFERROR(1/(1+B121)^5,"")</f>
        <v>0.56742685571859919</v>
      </c>
    </row>
    <row r="155" spans="1:8" ht="19.5" customHeight="1" x14ac:dyDescent="0.3">
      <c r="A155" s="23" t="s">
        <v>249</v>
      </c>
      <c r="B155" s="156" t="s">
        <v>248</v>
      </c>
      <c r="C155" s="95">
        <f>IFERROR(C151*C154,"")</f>
        <v>6870.5357142857174</v>
      </c>
      <c r="D155" s="95">
        <f>IFERROR(D151*D154,"")</f>
        <v>6993.2238520408182</v>
      </c>
      <c r="E155" s="95">
        <f>IFERROR(E151*E154,"")</f>
        <v>7118.1028493986887</v>
      </c>
      <c r="F155" s="95">
        <f>IFERROR(F151*F154,"")</f>
        <v>6990.9938699451423</v>
      </c>
      <c r="G155" s="95">
        <f>IFERROR(G151*G154,"")</f>
        <v>6866.1546936961222</v>
      </c>
      <c r="H155" s="93">
        <f>IFERROR(H153*H154,"")</f>
        <v>89260.011018049598</v>
      </c>
    </row>
    <row r="156" spans="1:8" ht="4.5" customHeight="1" x14ac:dyDescent="0.3"/>
    <row r="157" spans="1:8" ht="25.5" customHeight="1" x14ac:dyDescent="0.3">
      <c r="A157" s="157" t="s">
        <v>250</v>
      </c>
      <c r="B157" s="158">
        <f>IFERROR(C155+D155+E155+F155+G155+H155,"")</f>
        <v>124099.02199741609</v>
      </c>
      <c r="C157" s="159" t="s">
        <v>80</v>
      </c>
      <c r="D157" s="160"/>
      <c r="E157" s="160"/>
      <c r="F157" s="160"/>
      <c r="G157" s="160"/>
      <c r="H157" s="160"/>
    </row>
    <row r="158" spans="1:8" ht="19.5" customHeight="1" x14ac:dyDescent="0.3">
      <c r="A158" s="161" t="s">
        <v>251</v>
      </c>
      <c r="B158" s="162">
        <f>IFERROR(B157-B9+B10,"")</f>
        <v>129099.02199741609</v>
      </c>
      <c r="C158" s="163" t="s">
        <v>80</v>
      </c>
      <c r="D158" s="149"/>
      <c r="E158" s="149"/>
      <c r="F158" s="149"/>
      <c r="G158" s="149"/>
      <c r="H158" s="149"/>
    </row>
    <row r="159" spans="1:8" ht="30" customHeight="1" x14ac:dyDescent="0.3">
      <c r="A159" s="164" t="s">
        <v>252</v>
      </c>
      <c r="B159" s="165">
        <f>IFERROR(B158/B7,"")</f>
        <v>537.91259165590031</v>
      </c>
      <c r="C159" s="166" t="s">
        <v>39</v>
      </c>
      <c r="D159" s="167"/>
      <c r="E159" s="167"/>
      <c r="F159" s="167"/>
      <c r="G159" s="167"/>
      <c r="H159" s="167"/>
    </row>
    <row r="160" spans="1:8" ht="19.5" customHeight="1" x14ac:dyDescent="0.3">
      <c r="A160" s="19" t="s">
        <v>253</v>
      </c>
      <c r="B160" s="168">
        <f>IFERROR((B159-B6)/B6,"")</f>
        <v>-0.56966992667527971</v>
      </c>
      <c r="C160" s="169" t="s">
        <v>47</v>
      </c>
      <c r="D160" s="170"/>
      <c r="E160" s="170"/>
      <c r="F160" s="170"/>
      <c r="G160" s="170"/>
      <c r="H160" s="170"/>
    </row>
    <row r="161" spans="1:8" ht="9.75" customHeight="1" x14ac:dyDescent="0.3"/>
    <row r="162" spans="1:8" ht="21.75" customHeight="1" x14ac:dyDescent="0.3">
      <c r="A162" s="220" t="s">
        <v>254</v>
      </c>
      <c r="B162" s="220"/>
      <c r="C162" s="220"/>
      <c r="D162" s="220"/>
      <c r="E162" s="220"/>
      <c r="F162" s="220"/>
      <c r="G162" s="220"/>
      <c r="H162" s="220"/>
    </row>
    <row r="163" spans="1:8" ht="19.5" customHeight="1" x14ac:dyDescent="0.3">
      <c r="A163" s="171" t="s">
        <v>255</v>
      </c>
      <c r="B163" s="218" t="s">
        <v>256</v>
      </c>
      <c r="C163" s="218"/>
      <c r="D163" s="218"/>
      <c r="E163" s="218"/>
      <c r="F163" s="218"/>
      <c r="G163" s="218"/>
      <c r="H163" s="218"/>
    </row>
    <row r="164" spans="1:8" ht="19.5" customHeight="1" x14ac:dyDescent="0.3">
      <c r="A164" s="171" t="s">
        <v>257</v>
      </c>
      <c r="B164" s="218" t="s">
        <v>258</v>
      </c>
      <c r="C164" s="218"/>
      <c r="D164" s="218"/>
      <c r="E164" s="218"/>
      <c r="F164" s="218"/>
      <c r="G164" s="218"/>
      <c r="H164" s="218"/>
    </row>
    <row r="165" spans="1:8" ht="19.5" customHeight="1" x14ac:dyDescent="0.3">
      <c r="A165" s="171" t="s">
        <v>259</v>
      </c>
      <c r="B165" s="218" t="s">
        <v>260</v>
      </c>
      <c r="C165" s="218"/>
      <c r="D165" s="218"/>
      <c r="E165" s="218"/>
      <c r="F165" s="218"/>
      <c r="G165" s="218"/>
      <c r="H165" s="218"/>
    </row>
    <row r="166" spans="1:8" ht="19.5" customHeight="1" x14ac:dyDescent="0.3">
      <c r="A166" s="171" t="s">
        <v>261</v>
      </c>
      <c r="B166" s="218" t="s">
        <v>262</v>
      </c>
      <c r="C166" s="218"/>
      <c r="D166" s="218"/>
      <c r="E166" s="218"/>
      <c r="F166" s="218"/>
      <c r="G166" s="218"/>
      <c r="H166" s="218"/>
    </row>
    <row r="167" spans="1:8" ht="19.5" customHeight="1" x14ac:dyDescent="0.3">
      <c r="A167" s="171" t="s">
        <v>263</v>
      </c>
      <c r="B167" s="218" t="s">
        <v>264</v>
      </c>
      <c r="C167" s="218"/>
      <c r="D167" s="218"/>
      <c r="E167" s="218"/>
      <c r="F167" s="218"/>
      <c r="G167" s="218"/>
      <c r="H167" s="218"/>
    </row>
    <row r="168" spans="1:8" ht="19.5" customHeight="1" x14ac:dyDescent="0.3">
      <c r="A168" s="171" t="s">
        <v>265</v>
      </c>
      <c r="B168" s="218" t="s">
        <v>266</v>
      </c>
      <c r="C168" s="218"/>
      <c r="D168" s="218"/>
      <c r="E168" s="218"/>
      <c r="F168" s="218"/>
      <c r="G168" s="218"/>
      <c r="H168" s="218"/>
    </row>
    <row r="169" spans="1:8" ht="7.5" customHeight="1" x14ac:dyDescent="0.3"/>
    <row r="170" spans="1:8" ht="36" customHeight="1" x14ac:dyDescent="0.3">
      <c r="A170" s="219" t="s">
        <v>267</v>
      </c>
      <c r="B170" s="219"/>
      <c r="C170" s="219"/>
      <c r="D170" s="219"/>
      <c r="E170" s="219"/>
      <c r="F170" s="219"/>
      <c r="G170" s="219"/>
      <c r="H170" s="219"/>
    </row>
  </sheetData>
  <mergeCells count="38">
    <mergeCell ref="A1:C1"/>
    <mergeCell ref="A2:C2"/>
    <mergeCell ref="A4:C4"/>
    <mergeCell ref="A12:C12"/>
    <mergeCell ref="A20:C20"/>
    <mergeCell ref="A28:C28"/>
    <mergeCell ref="A32:C32"/>
    <mergeCell ref="A36:C36"/>
    <mergeCell ref="A41:C41"/>
    <mergeCell ref="A49:C49"/>
    <mergeCell ref="A57:C57"/>
    <mergeCell ref="A58:C58"/>
    <mergeCell ref="A60:C60"/>
    <mergeCell ref="A65:C65"/>
    <mergeCell ref="A70:C70"/>
    <mergeCell ref="A75:C75"/>
    <mergeCell ref="A79:C79"/>
    <mergeCell ref="A82:C82"/>
    <mergeCell ref="A83:C83"/>
    <mergeCell ref="A85:C85"/>
    <mergeCell ref="A89:C89"/>
    <mergeCell ref="A101:C101"/>
    <mergeCell ref="A105:C105"/>
    <mergeCell ref="A114:C114"/>
    <mergeCell ref="A117:H117"/>
    <mergeCell ref="B168:H168"/>
    <mergeCell ref="A170:H170"/>
    <mergeCell ref="A99:C99"/>
    <mergeCell ref="B163:H163"/>
    <mergeCell ref="B164:H164"/>
    <mergeCell ref="B165:H165"/>
    <mergeCell ref="B166:H166"/>
    <mergeCell ref="B167:H167"/>
    <mergeCell ref="A118:H118"/>
    <mergeCell ref="A120:H120"/>
    <mergeCell ref="A131:H131"/>
    <mergeCell ref="A139:H139"/>
    <mergeCell ref="A162:H162"/>
  </mergeCells>
  <conditionalFormatting sqref="B63">
    <cfRule type="expression" dxfId="330" priority="2">
      <formula>B47&gt;0.2</formula>
    </cfRule>
    <cfRule type="expression" dxfId="329" priority="3">
      <formula>AND(B47&gt;0.1,B47&lt;=0.2)</formula>
    </cfRule>
    <cfRule type="expression" dxfId="328" priority="4">
      <formula>AND(B47&gt;=-0.1,B47&lt;=0.1)</formula>
    </cfRule>
    <cfRule type="expression" dxfId="327" priority="5">
      <formula>AND(B47&gt;=-0.2,B47&lt;-0.1)</formula>
    </cfRule>
    <cfRule type="expression" dxfId="326" priority="6">
      <formula>B47&lt;-0.2</formula>
    </cfRule>
  </conditionalFormatting>
  <conditionalFormatting sqref="B66">
    <cfRule type="expression" dxfId="325" priority="7">
      <formula>B30&gt;0.2</formula>
    </cfRule>
    <cfRule type="expression" dxfId="324" priority="8">
      <formula>AND(B30&gt;0.1,B30&lt;=0.2)</formula>
    </cfRule>
    <cfRule type="expression" dxfId="323" priority="9">
      <formula>AND(B30&gt;=-0.1,B30&lt;=0.1)</formula>
    </cfRule>
    <cfRule type="expression" dxfId="322" priority="10">
      <formula>AND(B30&gt;=-0.2,B30&lt;-0.1)</formula>
    </cfRule>
    <cfRule type="expression" dxfId="321" priority="11">
      <formula>B30&lt;-0.2</formula>
    </cfRule>
  </conditionalFormatting>
  <conditionalFormatting sqref="B67">
    <cfRule type="expression" dxfId="320" priority="12">
      <formula>B34&gt;0.2</formula>
    </cfRule>
    <cfRule type="expression" dxfId="319" priority="13">
      <formula>AND(B34&gt;0.1,B34&lt;=0.2)</formula>
    </cfRule>
    <cfRule type="expression" dxfId="318" priority="14">
      <formula>AND(B34&gt;=-0.1,B34&lt;=0.1)</formula>
    </cfRule>
    <cfRule type="expression" dxfId="317" priority="15">
      <formula>AND(B34&gt;=-0.2,B34&lt;-0.1)</formula>
    </cfRule>
    <cfRule type="expression" dxfId="316" priority="16">
      <formula>B34&lt;-0.2</formula>
    </cfRule>
  </conditionalFormatting>
  <conditionalFormatting sqref="B68">
    <cfRule type="expression" dxfId="315" priority="17">
      <formula>B39&gt;0.2</formula>
    </cfRule>
    <cfRule type="expression" dxfId="314" priority="18">
      <formula>AND(B39&gt;0.1,B39&lt;=0.2)</formula>
    </cfRule>
    <cfRule type="expression" dxfId="313" priority="19">
      <formula>AND(B39&gt;=-0.1,B39&lt;=0.1)</formula>
    </cfRule>
    <cfRule type="expression" dxfId="312" priority="20">
      <formula>AND(B39&gt;=-0.2,B39&lt;-0.1)</formula>
    </cfRule>
    <cfRule type="expression" dxfId="311" priority="21">
      <formula>B39&lt;-0.2</formula>
    </cfRule>
  </conditionalFormatting>
  <conditionalFormatting sqref="B76">
    <cfRule type="expression" dxfId="310" priority="22">
      <formula>B47&gt;0.2</formula>
    </cfRule>
    <cfRule type="expression" dxfId="309" priority="23">
      <formula>AND(B47&gt;0.1,B47&lt;=0.2)</formula>
    </cfRule>
    <cfRule type="expression" dxfId="308" priority="24">
      <formula>AND(B47&gt;=-0.1,B47&lt;=0.1)</formula>
    </cfRule>
    <cfRule type="expression" dxfId="307" priority="25">
      <formula>AND(B47&gt;=-0.2,B47&lt;-0.1)</formula>
    </cfRule>
    <cfRule type="expression" dxfId="306" priority="26">
      <formula>B47&lt;-0.2</formula>
    </cfRule>
  </conditionalFormatting>
  <conditionalFormatting sqref="B77">
    <cfRule type="expression" dxfId="305" priority="27">
      <formula>B47&gt;0.2</formula>
    </cfRule>
    <cfRule type="expression" dxfId="304" priority="28">
      <formula>AND(B47&gt;0.1,B47&lt;=0.2)</formula>
    </cfRule>
    <cfRule type="expression" dxfId="303" priority="29">
      <formula>AND(B47&gt;=-0.1,B47&lt;=0.1)</formula>
    </cfRule>
    <cfRule type="expression" dxfId="302" priority="30">
      <formula>AND(B47&gt;=-0.2,B47&lt;-0.1)</formula>
    </cfRule>
    <cfRule type="expression" dxfId="301" priority="31">
      <formula>B47&lt;-0.2</formula>
    </cfRule>
  </conditionalFormatting>
  <conditionalFormatting sqref="B103">
    <cfRule type="expression" dxfId="300" priority="49">
      <formula>B6&gt;B46*1.15</formula>
    </cfRule>
    <cfRule type="expression" dxfId="299" priority="44">
      <formula>B6&lt;=B46*(1-B86*1.5)</formula>
    </cfRule>
    <cfRule type="expression" dxfId="298" priority="45">
      <formula>AND(B6&gt;B46*(1-B86*1.5),B6&lt;=B46*(1-B86))</formula>
    </cfRule>
    <cfRule type="expression" dxfId="297" priority="46">
      <formula>AND(B6&gt;B46*(1-B86),B6&lt;=B46*(1-B86*0.5))</formula>
    </cfRule>
    <cfRule type="expression" dxfId="296" priority="47">
      <formula>AND(B6&gt;B46*(1-B86*0.5),B6&lt;=B46)</formula>
    </cfRule>
    <cfRule type="expression" dxfId="295" priority="48">
      <formula>AND(B6&gt;B46,B6&lt;=B46*1.15)</formula>
    </cfRule>
  </conditionalFormatting>
  <conditionalFormatting sqref="C91">
    <cfRule type="expression" dxfId="294" priority="32">
      <formula>B6&lt;B91</formula>
    </cfRule>
    <cfRule type="expression" dxfId="293" priority="33">
      <formula>B6&gt;=B91</formula>
    </cfRule>
  </conditionalFormatting>
  <conditionalFormatting sqref="C92">
    <cfRule type="expression" dxfId="292" priority="34">
      <formula>B6&lt;B92</formula>
    </cfRule>
    <cfRule type="expression" dxfId="291" priority="35">
      <formula>B6&gt;=B92</formula>
    </cfRule>
  </conditionalFormatting>
  <conditionalFormatting sqref="C93">
    <cfRule type="expression" dxfId="290" priority="36">
      <formula>B6&lt;B93</formula>
    </cfRule>
    <cfRule type="expression" dxfId="289" priority="37">
      <formula>B6&gt;=B93</formula>
    </cfRule>
  </conditionalFormatting>
  <conditionalFormatting sqref="C94">
    <cfRule type="expression" dxfId="288" priority="38">
      <formula>B6&lt;B94</formula>
    </cfRule>
    <cfRule type="expression" dxfId="287" priority="39">
      <formula>B6&gt;=B94</formula>
    </cfRule>
  </conditionalFormatting>
  <conditionalFormatting sqref="C95">
    <cfRule type="expression" dxfId="286" priority="40">
      <formula>B6&lt;B95</formula>
    </cfRule>
    <cfRule type="expression" dxfId="285" priority="41">
      <formula>B6&gt;=B95</formula>
    </cfRule>
  </conditionalFormatting>
  <conditionalFormatting sqref="C96">
    <cfRule type="expression" dxfId="284" priority="42">
      <formula>B6&lt;B96</formula>
    </cfRule>
    <cfRule type="expression" dxfId="283" priority="43">
      <formula>B6&gt;=B96</formula>
    </cfRule>
  </conditionalFormatting>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7"/>
  <sheetViews>
    <sheetView showGridLines="0" topLeftCell="A59" zoomScaleNormal="100" workbookViewId="0">
      <selection activeCell="C68" sqref="C68:C70"/>
    </sheetView>
  </sheetViews>
  <sheetFormatPr defaultColWidth="8.6640625" defaultRowHeight="14.4" x14ac:dyDescent="0.3"/>
  <cols>
    <col min="1" max="1" width="69" customWidth="1"/>
    <col min="2" max="2" width="23.6640625" customWidth="1"/>
    <col min="3" max="3" width="28.5546875" customWidth="1"/>
    <col min="4" max="7" width="13" customWidth="1"/>
    <col min="8" max="8" width="14" customWidth="1"/>
  </cols>
  <sheetData>
    <row r="1" spans="1:3" ht="31.5" customHeight="1" x14ac:dyDescent="0.3">
      <c r="A1" s="206" t="s">
        <v>268</v>
      </c>
      <c r="B1" s="206"/>
      <c r="C1" s="206"/>
    </row>
    <row r="2" spans="1:3" ht="27.75" customHeight="1" x14ac:dyDescent="0.3">
      <c r="A2" s="207" t="s">
        <v>269</v>
      </c>
      <c r="B2" s="207"/>
      <c r="C2" s="207"/>
    </row>
    <row r="3" spans="1:3" ht="7.5" customHeight="1" x14ac:dyDescent="0.3"/>
    <row r="4" spans="1:3" ht="19.5" customHeight="1" x14ac:dyDescent="0.3">
      <c r="A4" s="208" t="s">
        <v>35</v>
      </c>
      <c r="B4" s="208"/>
      <c r="C4" s="208"/>
    </row>
    <row r="5" spans="1:3" ht="18" customHeight="1" x14ac:dyDescent="0.3">
      <c r="A5" s="179" t="s">
        <v>36</v>
      </c>
      <c r="B5" s="180" t="s">
        <v>270</v>
      </c>
      <c r="C5" s="181"/>
    </row>
    <row r="6" spans="1:3" ht="18" customHeight="1" x14ac:dyDescent="0.3">
      <c r="A6" s="179" t="s">
        <v>38</v>
      </c>
      <c r="B6" s="182">
        <v>11500</v>
      </c>
      <c r="C6" s="181" t="s">
        <v>39</v>
      </c>
    </row>
    <row r="7" spans="1:3" ht="18" customHeight="1" x14ac:dyDescent="0.3">
      <c r="A7" s="179" t="s">
        <v>40</v>
      </c>
      <c r="B7" s="183">
        <v>30</v>
      </c>
      <c r="C7" s="181" t="s">
        <v>41</v>
      </c>
    </row>
    <row r="8" spans="1:3" ht="18" customHeight="1" x14ac:dyDescent="0.3">
      <c r="A8" s="179" t="s">
        <v>143</v>
      </c>
      <c r="B8" s="182">
        <v>400</v>
      </c>
      <c r="C8" s="181" t="s">
        <v>39</v>
      </c>
    </row>
    <row r="9" spans="1:3" ht="18" customHeight="1" x14ac:dyDescent="0.3">
      <c r="A9" s="179" t="s">
        <v>146</v>
      </c>
      <c r="B9" s="183">
        <v>5000</v>
      </c>
      <c r="C9" s="181" t="s">
        <v>80</v>
      </c>
    </row>
    <row r="10" spans="1:3" ht="18" customHeight="1" x14ac:dyDescent="0.3">
      <c r="A10" s="179" t="s">
        <v>147</v>
      </c>
      <c r="B10" s="183">
        <v>20000</v>
      </c>
      <c r="C10" s="181" t="s">
        <v>80</v>
      </c>
    </row>
    <row r="11" spans="1:3" ht="7.5" customHeight="1" x14ac:dyDescent="0.3"/>
    <row r="12" spans="1:3" ht="19.5" customHeight="1" x14ac:dyDescent="0.3">
      <c r="A12" s="208" t="s">
        <v>45</v>
      </c>
      <c r="B12" s="208"/>
      <c r="C12" s="208"/>
    </row>
    <row r="13" spans="1:3" ht="18" customHeight="1" x14ac:dyDescent="0.3">
      <c r="A13" s="179" t="s">
        <v>145</v>
      </c>
      <c r="B13" s="183">
        <v>140000</v>
      </c>
      <c r="C13" s="181" t="s">
        <v>80</v>
      </c>
    </row>
    <row r="14" spans="1:3" ht="18" customHeight="1" x14ac:dyDescent="0.3">
      <c r="A14" s="179" t="s">
        <v>144</v>
      </c>
      <c r="B14" s="183">
        <v>17500</v>
      </c>
      <c r="C14" s="181" t="s">
        <v>80</v>
      </c>
    </row>
    <row r="15" spans="1:3" ht="18" customHeight="1" x14ac:dyDescent="0.3">
      <c r="A15" s="179" t="s">
        <v>200</v>
      </c>
      <c r="B15" s="191">
        <v>0.125</v>
      </c>
      <c r="C15" s="181" t="s">
        <v>47</v>
      </c>
    </row>
    <row r="16" spans="1:3" ht="18" customHeight="1" x14ac:dyDescent="0.3">
      <c r="A16" s="179" t="s">
        <v>271</v>
      </c>
      <c r="B16" s="191">
        <v>0.08</v>
      </c>
      <c r="C16" s="181" t="s">
        <v>47</v>
      </c>
    </row>
    <row r="17" spans="1:3" ht="18" customHeight="1" x14ac:dyDescent="0.3">
      <c r="A17" s="179" t="s">
        <v>272</v>
      </c>
      <c r="B17" s="191">
        <v>0.03</v>
      </c>
      <c r="C17" s="181" t="s">
        <v>47</v>
      </c>
    </row>
    <row r="18" spans="1:3" ht="18" customHeight="1" x14ac:dyDescent="0.3">
      <c r="A18" s="179" t="s">
        <v>273</v>
      </c>
      <c r="B18" s="182">
        <v>0</v>
      </c>
      <c r="C18" s="181" t="s">
        <v>274</v>
      </c>
    </row>
    <row r="19" spans="1:3" ht="7.5" customHeight="1" x14ac:dyDescent="0.3"/>
    <row r="20" spans="1:3" ht="19.5" customHeight="1" x14ac:dyDescent="0.3">
      <c r="A20" s="208" t="s">
        <v>54</v>
      </c>
      <c r="B20" s="208"/>
      <c r="C20" s="208"/>
    </row>
    <row r="21" spans="1:3" ht="18" customHeight="1" x14ac:dyDescent="0.3">
      <c r="A21" s="179" t="s">
        <v>178</v>
      </c>
      <c r="B21" s="192">
        <v>18</v>
      </c>
      <c r="C21" s="181" t="s">
        <v>60</v>
      </c>
    </row>
    <row r="22" spans="1:3" ht="18" customHeight="1" x14ac:dyDescent="0.3">
      <c r="A22" s="179" t="s">
        <v>275</v>
      </c>
      <c r="B22" s="192">
        <v>2</v>
      </c>
      <c r="C22" s="181" t="s">
        <v>60</v>
      </c>
    </row>
    <row r="23" spans="1:3" ht="18" customHeight="1" x14ac:dyDescent="0.3">
      <c r="A23" s="179" t="s">
        <v>176</v>
      </c>
      <c r="B23" s="192">
        <v>28</v>
      </c>
      <c r="C23" s="181" t="s">
        <v>60</v>
      </c>
    </row>
    <row r="24" spans="1:3" ht="7.5" customHeight="1" x14ac:dyDescent="0.3"/>
    <row r="25" spans="1:3" ht="19.5" customHeight="1" x14ac:dyDescent="0.3">
      <c r="A25" s="205" t="s">
        <v>208</v>
      </c>
      <c r="B25" s="205"/>
      <c r="C25" s="205"/>
    </row>
    <row r="26" spans="1:3" ht="18" customHeight="1" x14ac:dyDescent="0.3">
      <c r="A26" s="16" t="s">
        <v>209</v>
      </c>
      <c r="B26" s="17">
        <f>IFERROR((B21*B14-B9+B10)/B7,"")</f>
        <v>11000</v>
      </c>
      <c r="C26" s="18" t="s">
        <v>39</v>
      </c>
    </row>
    <row r="27" spans="1:3" ht="18" customHeight="1" x14ac:dyDescent="0.3">
      <c r="A27" s="19" t="s">
        <v>62</v>
      </c>
      <c r="B27" s="20">
        <f>IFERROR((B26-B6)/B6,"")</f>
        <v>-4.3478260869565216E-2</v>
      </c>
      <c r="C27" s="21" t="s">
        <v>47</v>
      </c>
    </row>
    <row r="28" spans="1:3" ht="7.5" customHeight="1" x14ac:dyDescent="0.3"/>
    <row r="29" spans="1:3" ht="19.5" customHeight="1" x14ac:dyDescent="0.3">
      <c r="A29" s="205" t="s">
        <v>276</v>
      </c>
      <c r="B29" s="205"/>
      <c r="C29" s="205"/>
    </row>
    <row r="30" spans="1:3" ht="18" customHeight="1" x14ac:dyDescent="0.3">
      <c r="A30" s="16" t="s">
        <v>277</v>
      </c>
      <c r="B30" s="17">
        <f>IFERROR((B22*B13-B9+B10)/B7,"")</f>
        <v>9833.3333333333339</v>
      </c>
      <c r="C30" s="18" t="s">
        <v>39</v>
      </c>
    </row>
    <row r="31" spans="1:3" ht="18" customHeight="1" x14ac:dyDescent="0.3">
      <c r="A31" s="19" t="s">
        <v>62</v>
      </c>
      <c r="B31" s="20">
        <f>IFERROR((B30-B6)/B6,"")</f>
        <v>-0.14492753623188401</v>
      </c>
      <c r="C31" s="21" t="s">
        <v>47</v>
      </c>
    </row>
    <row r="32" spans="1:3" ht="7.5" customHeight="1" x14ac:dyDescent="0.3"/>
    <row r="33" spans="1:3" ht="19.5" customHeight="1" x14ac:dyDescent="0.3">
      <c r="A33" s="205" t="s">
        <v>66</v>
      </c>
      <c r="B33" s="205"/>
      <c r="C33" s="205"/>
    </row>
    <row r="34" spans="1:3" ht="18" customHeight="1" x14ac:dyDescent="0.3">
      <c r="A34" s="16" t="s">
        <v>68</v>
      </c>
      <c r="B34" s="17">
        <f>IFERROR(B23*B8,"")</f>
        <v>11200</v>
      </c>
      <c r="C34" s="18" t="s">
        <v>39</v>
      </c>
    </row>
    <row r="35" spans="1:3" ht="18" customHeight="1" x14ac:dyDescent="0.3">
      <c r="A35" s="19" t="s">
        <v>62</v>
      </c>
      <c r="B35" s="20">
        <f>IFERROR((B34-B6)/B6,"")</f>
        <v>-2.6086956521739129E-2</v>
      </c>
      <c r="C35" s="21" t="s">
        <v>47</v>
      </c>
    </row>
    <row r="36" spans="1:3" ht="7.5" customHeight="1" x14ac:dyDescent="0.3"/>
    <row r="37" spans="1:3" ht="19.5" customHeight="1" x14ac:dyDescent="0.3">
      <c r="A37" s="200" t="s">
        <v>71</v>
      </c>
      <c r="B37" s="200"/>
      <c r="C37" s="200"/>
    </row>
    <row r="38" spans="1:3" ht="19.5" customHeight="1" x14ac:dyDescent="0.3">
      <c r="A38" s="23" t="s">
        <v>38</v>
      </c>
      <c r="B38" s="24">
        <f>B6</f>
        <v>11500</v>
      </c>
      <c r="C38" s="25" t="s">
        <v>39</v>
      </c>
    </row>
    <row r="39" spans="1:3" ht="19.5" customHeight="1" x14ac:dyDescent="0.3">
      <c r="A39" s="23" t="s">
        <v>183</v>
      </c>
      <c r="B39" s="24">
        <f>IFERROR(B26,"")</f>
        <v>11000</v>
      </c>
      <c r="C39" s="25" t="s">
        <v>39</v>
      </c>
    </row>
    <row r="40" spans="1:3" ht="19.5" customHeight="1" x14ac:dyDescent="0.3">
      <c r="A40" s="23" t="s">
        <v>278</v>
      </c>
      <c r="B40" s="24">
        <f>IFERROR(B30,"")</f>
        <v>9833.3333333333339</v>
      </c>
      <c r="C40" s="25" t="s">
        <v>39</v>
      </c>
    </row>
    <row r="41" spans="1:3" ht="19.5" customHeight="1" x14ac:dyDescent="0.3">
      <c r="A41" s="23" t="s">
        <v>353</v>
      </c>
      <c r="B41" s="24">
        <f>B156</f>
        <v>3693.7750000000001</v>
      </c>
      <c r="C41" s="25" t="s">
        <v>39</v>
      </c>
    </row>
    <row r="42" spans="1:3" ht="19.5" customHeight="1" x14ac:dyDescent="0.3">
      <c r="A42" s="23" t="s">
        <v>182</v>
      </c>
      <c r="B42" s="24">
        <f>IFERROR(B34,"")</f>
        <v>11200</v>
      </c>
      <c r="C42" s="25" t="s">
        <v>39</v>
      </c>
    </row>
    <row r="43" spans="1:3" ht="19.5" customHeight="1" x14ac:dyDescent="0.3">
      <c r="A43" s="139" t="s">
        <v>76</v>
      </c>
      <c r="B43" s="99">
        <f>IFERROR(AVERAGE(B39:B42),"")</f>
        <v>8931.7770833333343</v>
      </c>
      <c r="C43" s="28" t="s">
        <v>39</v>
      </c>
    </row>
    <row r="44" spans="1:3" ht="19.5" customHeight="1" x14ac:dyDescent="0.3">
      <c r="A44" s="139" t="s">
        <v>77</v>
      </c>
      <c r="B44" s="107">
        <f>IFERROR((B43-B6)/B6,"")</f>
        <v>-0.22332373188405788</v>
      </c>
      <c r="C44" s="28" t="s">
        <v>47</v>
      </c>
    </row>
    <row r="45" spans="1:3" ht="7.5" customHeight="1" x14ac:dyDescent="0.3"/>
    <row r="46" spans="1:3" ht="19.5" customHeight="1" x14ac:dyDescent="0.3">
      <c r="A46" s="199" t="s">
        <v>78</v>
      </c>
      <c r="B46" s="199"/>
      <c r="C46" s="199"/>
    </row>
    <row r="47" spans="1:3" ht="18" customHeight="1" x14ac:dyDescent="0.3">
      <c r="A47" s="16" t="s">
        <v>79</v>
      </c>
      <c r="B47" s="30">
        <f>IFERROR(B6*B7,"")</f>
        <v>345000</v>
      </c>
      <c r="C47" s="18" t="s">
        <v>80</v>
      </c>
    </row>
    <row r="48" spans="1:3" ht="18" customHeight="1" x14ac:dyDescent="0.3">
      <c r="A48" s="16" t="s">
        <v>279</v>
      </c>
      <c r="B48" s="30">
        <f>IFERROR(B6*B7+B9-B10,"")</f>
        <v>330000</v>
      </c>
      <c r="C48" s="18" t="s">
        <v>80</v>
      </c>
    </row>
    <row r="49" spans="1:3" ht="18" customHeight="1" x14ac:dyDescent="0.3">
      <c r="A49" s="16" t="s">
        <v>184</v>
      </c>
      <c r="B49" s="22">
        <f>IFERROR((B6*B7+B9-B10)/B14,"")</f>
        <v>18.857142857142858</v>
      </c>
      <c r="C49" s="18" t="s">
        <v>60</v>
      </c>
    </row>
    <row r="50" spans="1:3" ht="18" customHeight="1" x14ac:dyDescent="0.3">
      <c r="A50" s="16" t="s">
        <v>214</v>
      </c>
      <c r="B50" s="22">
        <f>IFERROR(B6/B8,"")</f>
        <v>28.75</v>
      </c>
      <c r="C50" s="18" t="s">
        <v>60</v>
      </c>
    </row>
    <row r="51" spans="1:3" ht="18" customHeight="1" x14ac:dyDescent="0.3">
      <c r="A51" s="16" t="s">
        <v>200</v>
      </c>
      <c r="B51" s="31">
        <f>B15</f>
        <v>0.125</v>
      </c>
      <c r="C51" s="18" t="s">
        <v>47</v>
      </c>
    </row>
    <row r="53" spans="1:3" ht="33.75" customHeight="1" x14ac:dyDescent="0.3">
      <c r="A53" s="203" t="s">
        <v>84</v>
      </c>
      <c r="B53" s="203"/>
      <c r="C53" s="203"/>
    </row>
    <row r="54" spans="1:3" ht="24" customHeight="1" x14ac:dyDescent="0.3">
      <c r="A54" s="204" t="s">
        <v>85</v>
      </c>
      <c r="B54" s="204"/>
      <c r="C54" s="204"/>
    </row>
    <row r="55" spans="1:3" ht="7.5" customHeight="1" x14ac:dyDescent="0.3"/>
    <row r="56" spans="1:3" ht="19.5" customHeight="1" x14ac:dyDescent="0.3">
      <c r="A56" s="199" t="s">
        <v>86</v>
      </c>
      <c r="B56" s="199"/>
      <c r="C56" s="199"/>
    </row>
    <row r="57" spans="1:3" ht="18" customHeight="1" x14ac:dyDescent="0.3">
      <c r="A57" s="11" t="s">
        <v>38</v>
      </c>
      <c r="B57" s="32">
        <f>B6</f>
        <v>11500</v>
      </c>
      <c r="C57" s="33" t="s">
        <v>39</v>
      </c>
    </row>
    <row r="58" spans="1:3" ht="18" customHeight="1" x14ac:dyDescent="0.3">
      <c r="A58" s="11" t="s">
        <v>76</v>
      </c>
      <c r="B58" s="32">
        <f>B43</f>
        <v>8931.7770833333343</v>
      </c>
      <c r="C58" s="33" t="s">
        <v>39</v>
      </c>
    </row>
    <row r="59" spans="1:3" ht="19.5" customHeight="1" x14ac:dyDescent="0.3">
      <c r="A59" s="34" t="s">
        <v>87</v>
      </c>
      <c r="B59" s="35">
        <f>B44</f>
        <v>-0.22332373188405788</v>
      </c>
      <c r="C59" s="36" t="s">
        <v>47</v>
      </c>
    </row>
    <row r="60" spans="1:3" ht="7.5" customHeight="1" x14ac:dyDescent="0.3"/>
    <row r="61" spans="1:3" ht="19.5" customHeight="1" x14ac:dyDescent="0.3">
      <c r="A61" s="199" t="s">
        <v>88</v>
      </c>
      <c r="B61" s="199"/>
      <c r="C61" s="199"/>
    </row>
    <row r="62" spans="1:3" ht="21.75" customHeight="1" x14ac:dyDescent="0.3">
      <c r="A62" s="11" t="s">
        <v>216</v>
      </c>
      <c r="B62" s="37" t="str">
        <f>IF(B27="","— Enter Data —",IF(B27&gt;0.2,"STRONG BUY",IF(B27&gt;0.1,"BUY",IF(B27&gt;=-0.1,"HOLD",IF(B27&gt;=-0.2,"SELL","STRONG SELL")))))</f>
        <v>HOLD</v>
      </c>
      <c r="C62" s="38"/>
    </row>
    <row r="63" spans="1:3" ht="21.75" customHeight="1" x14ac:dyDescent="0.3">
      <c r="A63" s="11" t="s">
        <v>280</v>
      </c>
      <c r="B63" s="37" t="str">
        <f>IF(B31="","— Enter Data —",IF(B31&gt;0.2,"STRONG BUY",IF(B31&gt;0.1,"BUY",IF(B31&gt;=-0.1,"HOLD",IF(B31&gt;=-0.2,"SELL","STRONG SELL")))))</f>
        <v>SELL</v>
      </c>
      <c r="C63" s="38"/>
    </row>
    <row r="64" spans="1:3" ht="21.75" customHeight="1" x14ac:dyDescent="0.3">
      <c r="A64" s="11" t="s">
        <v>91</v>
      </c>
      <c r="B64" s="37" t="str">
        <f>IF(B35="","— Enter Data —",IF(B35&gt;0.2,"STRONG BUY",IF(B35&gt;0.1,"BUY",IF(B35&gt;=-0.1,"HOLD",IF(B35&gt;=-0.2,"SELL","STRONG SELL")))))</f>
        <v>HOLD</v>
      </c>
      <c r="C64" s="38"/>
    </row>
    <row r="65" spans="1:3" ht="21.75" customHeight="1" x14ac:dyDescent="0.3">
      <c r="A65" s="11" t="s">
        <v>354</v>
      </c>
      <c r="B65" s="37" t="str">
        <f>IF(B157="","— Enter Data —",IF(B157&gt;0.2,"STRONG BUY",IF(B157&gt;0.1,"BUY",IF(B157&gt;=-0.1,"HOLD",IF(B157&gt;=-0.2,"SELL","STRONG SELL")))))</f>
        <v>STRONG SELL</v>
      </c>
      <c r="C65" s="38"/>
    </row>
    <row r="66" spans="1:3" ht="7.5" customHeight="1" x14ac:dyDescent="0.3"/>
    <row r="67" spans="1:3" ht="19.5" customHeight="1" x14ac:dyDescent="0.3">
      <c r="A67" s="199" t="s">
        <v>93</v>
      </c>
      <c r="B67" s="199"/>
      <c r="C67" s="199"/>
    </row>
    <row r="68" spans="1:3" ht="18" customHeight="1" x14ac:dyDescent="0.3">
      <c r="A68" s="11" t="s">
        <v>94</v>
      </c>
      <c r="B68" s="39">
        <f>COUNTIF(B62,"*BUY*")+COUNTIF(B63,"*BUY*")+COUNTIF(B65,"*BUY*")+COUNTIF(B64,"*BUY*")</f>
        <v>0</v>
      </c>
      <c r="C68" s="33" t="s">
        <v>95</v>
      </c>
    </row>
    <row r="69" spans="1:3" ht="18" customHeight="1" x14ac:dyDescent="0.3">
      <c r="A69" s="11" t="s">
        <v>96</v>
      </c>
      <c r="B69" s="40">
        <f>COUNTIF(B62,"HOLD")+COUNTIF(B63,"HOLD")+COUNTIF(B65,"HOLD")+COUNTIF(B64,"HOLD")</f>
        <v>2</v>
      </c>
      <c r="C69" s="33" t="s">
        <v>95</v>
      </c>
    </row>
    <row r="70" spans="1:3" ht="18" customHeight="1" x14ac:dyDescent="0.3">
      <c r="A70" s="11" t="s">
        <v>97</v>
      </c>
      <c r="B70" s="41">
        <f>COUNTIF(B62,"*SELL*")+COUNTIF(B63,"*SELL*")+COUNTIF(B65,"*SELL*")+COUNTIF(B64,"*SELL*")</f>
        <v>2</v>
      </c>
      <c r="C70" s="33" t="s">
        <v>95</v>
      </c>
    </row>
    <row r="71" spans="1:3" ht="9.75" customHeight="1" x14ac:dyDescent="0.3"/>
    <row r="72" spans="1:3" ht="19.5" customHeight="1" x14ac:dyDescent="0.3">
      <c r="A72" s="200" t="s">
        <v>98</v>
      </c>
      <c r="B72" s="200"/>
      <c r="C72" s="200"/>
    </row>
    <row r="73" spans="1:3" ht="37.5" customHeight="1" x14ac:dyDescent="0.3">
      <c r="A73" s="42" t="s">
        <v>99</v>
      </c>
      <c r="B73" s="43" t="str">
        <f>IF(B44="","— Enter Data —",IF(B44&gt;0.2,"STRONG BUY",IF(B44&gt;0.1,"BUY",IF(B44&gt;=-0.1,"HOLD",IF(B44&gt;=-0.2,"SELL","STRONG SELL")))))</f>
        <v>STRONG SELL</v>
      </c>
      <c r="C73" s="11"/>
    </row>
    <row r="74" spans="1:3" ht="18" customHeight="1" x14ac:dyDescent="0.3">
      <c r="A74" s="44" t="s">
        <v>100</v>
      </c>
      <c r="B74" s="45">
        <f>B44</f>
        <v>-0.22332373188405788</v>
      </c>
      <c r="C74" s="33" t="s">
        <v>101</v>
      </c>
    </row>
    <row r="75" spans="1:3" ht="6" customHeight="1" x14ac:dyDescent="0.3"/>
    <row r="76" spans="1:3" ht="36" customHeight="1" x14ac:dyDescent="0.3">
      <c r="A76" s="201" t="s">
        <v>102</v>
      </c>
      <c r="B76" s="201"/>
      <c r="C76" s="201"/>
    </row>
    <row r="79" spans="1:3" ht="33.75" customHeight="1" x14ac:dyDescent="0.3">
      <c r="A79" s="202" t="s">
        <v>103</v>
      </c>
      <c r="B79" s="202"/>
      <c r="C79" s="202"/>
    </row>
    <row r="80" spans="1:3" ht="25.5" customHeight="1" x14ac:dyDescent="0.3">
      <c r="A80" s="198" t="s">
        <v>104</v>
      </c>
      <c r="B80" s="198"/>
      <c r="C80" s="198"/>
    </row>
    <row r="81" spans="1:3" ht="7.5" customHeight="1" x14ac:dyDescent="0.3"/>
    <row r="82" spans="1:3" ht="19.5" customHeight="1" x14ac:dyDescent="0.3">
      <c r="A82" s="196" t="s">
        <v>105</v>
      </c>
      <c r="B82" s="196"/>
      <c r="C82" s="196"/>
    </row>
    <row r="83" spans="1:3" ht="19.5" customHeight="1" x14ac:dyDescent="0.3">
      <c r="A83" s="11" t="s">
        <v>106</v>
      </c>
      <c r="B83" s="178">
        <v>0.2</v>
      </c>
      <c r="C83" s="33" t="s">
        <v>191</v>
      </c>
    </row>
    <row r="84" spans="1:3" ht="19.5" customHeight="1" x14ac:dyDescent="0.3">
      <c r="A84" s="11" t="s">
        <v>108</v>
      </c>
      <c r="B84" s="178">
        <v>0.12</v>
      </c>
      <c r="C84" s="33" t="s">
        <v>192</v>
      </c>
    </row>
    <row r="85" spans="1:3" ht="7.5" customHeight="1" x14ac:dyDescent="0.3"/>
    <row r="86" spans="1:3" ht="19.5" customHeight="1" x14ac:dyDescent="0.3">
      <c r="A86" s="197" t="s">
        <v>110</v>
      </c>
      <c r="B86" s="197"/>
      <c r="C86" s="197"/>
    </row>
    <row r="87" spans="1:3" ht="18" customHeight="1" x14ac:dyDescent="0.3">
      <c r="A87" s="46" t="s">
        <v>111</v>
      </c>
      <c r="B87" s="46" t="s">
        <v>112</v>
      </c>
      <c r="C87" s="46" t="s">
        <v>113</v>
      </c>
    </row>
    <row r="88" spans="1:3" ht="25.5" customHeight="1" x14ac:dyDescent="0.3">
      <c r="A88" s="47" t="s">
        <v>114</v>
      </c>
      <c r="B88" s="110">
        <f>IFERROR(B43*(1-B83*1.5),"")</f>
        <v>6252.2439583333335</v>
      </c>
      <c r="C88" s="49" t="str">
        <f>IF(OR(B6="",B88=""),"—",IF(ABS(B6-B88)/B88&lt;0.005,"  ◆  CMP IS HERE",IF(B6&lt;B88,"  ✅  BELOW — ENTRY OPEN","  ⬆  ABOVE — NOT YET")))</f>
        <v xml:space="preserve">  ⬆  ABOVE — NOT YET</v>
      </c>
    </row>
    <row r="89" spans="1:3" ht="25.5" customHeight="1" x14ac:dyDescent="0.3">
      <c r="A89" s="50" t="s">
        <v>115</v>
      </c>
      <c r="B89" s="114">
        <f>IFERROR(B43*(1-B83),"")</f>
        <v>7145.421666666668</v>
      </c>
      <c r="C89" s="52" t="str">
        <f>IF(OR(B6="",B89=""),"—",IF(ABS(B6-B89)/B89&lt;0.005,"  ◆  CMP IS HERE",IF(B6&lt;B89,"  ✅  BELOW — ENTRY OPEN","  ⬆  ABOVE — NOT YET")))</f>
        <v xml:space="preserve">  ⬆  ABOVE — NOT YET</v>
      </c>
    </row>
    <row r="90" spans="1:3" ht="25.5" customHeight="1" x14ac:dyDescent="0.3">
      <c r="A90" s="53" t="s">
        <v>116</v>
      </c>
      <c r="B90" s="118">
        <f>IFERROR(B43*(1-B83*0.5),"")</f>
        <v>8038.5993750000007</v>
      </c>
      <c r="C90" s="55" t="str">
        <f>IF(OR(B6="",B90=""),"—",IF(ABS(B6-B90)/B90&lt;0.005,"  ◆  CMP IS HERE",IF(B6&lt;B90,"  ✅  BELOW — ENTRY OPEN","  ⬆  ABOVE — NOT YET")))</f>
        <v xml:space="preserve">  ⬆  ABOVE — NOT YET</v>
      </c>
    </row>
    <row r="91" spans="1:3" ht="25.5" customHeight="1" x14ac:dyDescent="0.3">
      <c r="A91" s="56" t="s">
        <v>117</v>
      </c>
      <c r="B91" s="122">
        <f>B43</f>
        <v>8931.7770833333343</v>
      </c>
      <c r="C91" s="58" t="str">
        <f>IF(OR(B6="",B91=""),"—",IF(ABS(B6-B91)/B91&lt;0.005,"  ◆  CMP IS HERE",IF(B6&lt;B91,"  ✅  BELOW — ENTRY OPEN","  ⬆  ABOVE — NOT YET")))</f>
        <v xml:space="preserve">  ⬆  ABOVE — NOT YET</v>
      </c>
    </row>
    <row r="92" spans="1:3" ht="25.5" customHeight="1" x14ac:dyDescent="0.3">
      <c r="A92" s="59" t="s">
        <v>118</v>
      </c>
      <c r="B92" s="126">
        <f>IFERROR(B43*1.15,"")</f>
        <v>10271.543645833333</v>
      </c>
      <c r="C92" s="61" t="str">
        <f>IF(OR(B6="",B92=""),"—",IF(ABS(B6-B92)/B92&lt;0.005,"  ◆  CMP IS HERE",IF(B6&lt;B92,"  ✅  BELOW — ENTRY OPEN","  ⬆  ABOVE — NOT YET")))</f>
        <v xml:space="preserve">  ⬆  ABOVE — NOT YET</v>
      </c>
    </row>
    <row r="93" spans="1:3" ht="25.5" customHeight="1" x14ac:dyDescent="0.3">
      <c r="A93" s="62" t="s">
        <v>119</v>
      </c>
      <c r="B93" s="130">
        <f>IFERROR(B43*1.25,"")</f>
        <v>11164.721354166668</v>
      </c>
      <c r="C93" s="64" t="str">
        <f>IF(OR(B6="",B93=""),"—",IF(ABS(B6-B93)/B93&lt;0.005,"  ◆  CMP IS HERE",IF(B6&lt;B93,"  ✅  BELOW — ENTRY OPEN","  ⬆  ABOVE — NOT YET")))</f>
        <v xml:space="preserve">  ⬆  ABOVE — NOT YET</v>
      </c>
    </row>
    <row r="94" spans="1:3" ht="25.5" customHeight="1" x14ac:dyDescent="0.3">
      <c r="A94" s="65" t="s">
        <v>120</v>
      </c>
      <c r="B94" s="134">
        <f>IFERROR(B88*(1-B84),"")</f>
        <v>5501.9746833333338</v>
      </c>
      <c r="C94" s="67" t="str">
        <f>IF(OR(B6="",B94=""),"—",IF(ABS(B6-B94)/B94&lt;0.005,"  ◆  CMP IS HERE",IF(B6&lt;B94,"  ✅  BELOW — ENTRY OPEN","  ⬆  ABOVE — NOT YET")))</f>
        <v xml:space="preserve">  ⬆  ABOVE — NOT YET</v>
      </c>
    </row>
    <row r="95" spans="1:3" ht="25.5" customHeight="1" x14ac:dyDescent="0.3">
      <c r="A95" s="184"/>
      <c r="B95" s="187"/>
      <c r="C95" s="186"/>
    </row>
    <row r="96" spans="1:3" ht="48.6" customHeight="1" x14ac:dyDescent="0.3">
      <c r="A96" s="198" t="s">
        <v>350</v>
      </c>
      <c r="B96" s="198"/>
      <c r="C96" s="198"/>
    </row>
    <row r="97" spans="1:3" ht="7.5" customHeight="1" x14ac:dyDescent="0.3"/>
    <row r="98" spans="1:3" ht="19.5" customHeight="1" x14ac:dyDescent="0.3">
      <c r="A98" s="196" t="s">
        <v>121</v>
      </c>
      <c r="B98" s="196"/>
      <c r="C98" s="196"/>
    </row>
    <row r="99" spans="1:3" ht="19.5" customHeight="1" x14ac:dyDescent="0.3">
      <c r="A99" s="11" t="s">
        <v>122</v>
      </c>
      <c r="B99" s="68">
        <f>B6</f>
        <v>11500</v>
      </c>
      <c r="C99" s="33" t="s">
        <v>39</v>
      </c>
    </row>
    <row r="100" spans="1:3" ht="27.75" customHeight="1" x14ac:dyDescent="0.3">
      <c r="A100" s="69" t="s">
        <v>123</v>
      </c>
      <c r="B100" s="70" t="str">
        <f>IF(OR(B6="",B43=""),"Enter data above",IF(B6&lt;=B43*(1-B88*1.5),"** STRONG BUY ** Excellent Entry",IF(B6&lt;=B43*(1-B88),"BUY - Good Entry",IF(B6&lt;=B43*(1-B88*0.5),"ACCUMULATE - Reasonable Entry",IF(B6&lt;=B43,"Near Fair Value - Cautious",IF(B6&lt;=B43*1.15,"Above Fair Value - Consider Trimming",IF(B6&lt;=B43*1.25,"EXPENSIVE - Consider Exiting","OVERVALUED - Exit Now")))))))</f>
        <v>OVERVALUED - Exit Now</v>
      </c>
      <c r="C100" s="71"/>
    </row>
    <row r="101" spans="1:3" ht="7.5" customHeight="1" x14ac:dyDescent="0.3"/>
    <row r="102" spans="1:3" ht="19.5" customHeight="1" x14ac:dyDescent="0.3">
      <c r="A102" s="197" t="s">
        <v>124</v>
      </c>
      <c r="B102" s="197"/>
      <c r="C102" s="197"/>
    </row>
    <row r="103" spans="1:3" ht="19.5" customHeight="1" x14ac:dyDescent="0.3">
      <c r="A103" s="72" t="s">
        <v>125</v>
      </c>
      <c r="B103" s="73" t="s">
        <v>126</v>
      </c>
      <c r="C103" s="74"/>
    </row>
    <row r="104" spans="1:3" ht="19.5" customHeight="1" x14ac:dyDescent="0.3">
      <c r="A104" s="75" t="s">
        <v>127</v>
      </c>
      <c r="B104" s="76" t="s">
        <v>128</v>
      </c>
      <c r="C104" s="76"/>
    </row>
    <row r="105" spans="1:3" ht="19.5" customHeight="1" x14ac:dyDescent="0.3">
      <c r="A105" s="77" t="s">
        <v>129</v>
      </c>
      <c r="B105" s="78" t="s">
        <v>130</v>
      </c>
      <c r="C105" s="78"/>
    </row>
    <row r="106" spans="1:3" ht="19.5" customHeight="1" x14ac:dyDescent="0.3">
      <c r="A106" s="79" t="s">
        <v>131</v>
      </c>
      <c r="B106" s="80" t="s">
        <v>132</v>
      </c>
      <c r="C106" s="80"/>
    </row>
    <row r="107" spans="1:3" ht="19.5" customHeight="1" x14ac:dyDescent="0.3">
      <c r="A107" s="81" t="s">
        <v>133</v>
      </c>
      <c r="B107" s="82" t="s">
        <v>134</v>
      </c>
      <c r="C107" s="82"/>
    </row>
    <row r="108" spans="1:3" ht="19.5" customHeight="1" x14ac:dyDescent="0.3">
      <c r="A108" s="83" t="s">
        <v>135</v>
      </c>
      <c r="B108" s="84" t="s">
        <v>136</v>
      </c>
      <c r="C108" s="84"/>
    </row>
    <row r="109" spans="1:3" ht="19.5" customHeight="1" x14ac:dyDescent="0.3">
      <c r="A109" s="85" t="s">
        <v>137</v>
      </c>
      <c r="B109" s="86" t="s">
        <v>138</v>
      </c>
      <c r="C109" s="87"/>
    </row>
    <row r="110" spans="1:3" ht="7.5" customHeight="1" x14ac:dyDescent="0.3"/>
    <row r="111" spans="1:3" ht="43.5" customHeight="1" x14ac:dyDescent="0.3">
      <c r="A111" s="198" t="s">
        <v>139</v>
      </c>
      <c r="B111" s="198"/>
      <c r="C111" s="198"/>
    </row>
    <row r="114" spans="1:8" ht="36" customHeight="1" x14ac:dyDescent="0.3">
      <c r="A114" s="222" t="s">
        <v>281</v>
      </c>
      <c r="B114" s="222"/>
      <c r="C114" s="222"/>
      <c r="D114" s="222"/>
      <c r="E114" s="222"/>
      <c r="F114" s="222"/>
      <c r="G114" s="222"/>
      <c r="H114" s="222"/>
    </row>
    <row r="115" spans="1:8" ht="30" customHeight="1" x14ac:dyDescent="0.3">
      <c r="A115" s="198" t="s">
        <v>351</v>
      </c>
      <c r="B115" s="198"/>
      <c r="C115" s="198"/>
      <c r="D115" s="198"/>
      <c r="E115" s="198"/>
      <c r="F115" s="198"/>
      <c r="G115" s="198"/>
      <c r="H115" s="198"/>
    </row>
    <row r="116" spans="1:8" ht="9.75" customHeight="1" x14ac:dyDescent="0.3"/>
    <row r="117" spans="1:8" ht="21.75" customHeight="1" x14ac:dyDescent="0.3">
      <c r="A117" s="220" t="s">
        <v>220</v>
      </c>
      <c r="B117" s="220"/>
      <c r="C117" s="220"/>
      <c r="D117" s="220"/>
      <c r="E117" s="220"/>
      <c r="F117" s="220"/>
      <c r="G117" s="220"/>
      <c r="H117" s="220"/>
    </row>
    <row r="118" spans="1:8" ht="19.5" customHeight="1" x14ac:dyDescent="0.3">
      <c r="A118" s="11" t="s">
        <v>221</v>
      </c>
      <c r="B118" s="178">
        <v>0.12</v>
      </c>
      <c r="C118" s="33" t="s">
        <v>47</v>
      </c>
      <c r="D118" s="109"/>
      <c r="E118" s="109"/>
      <c r="F118" s="109"/>
      <c r="G118" s="109"/>
      <c r="H118" s="109"/>
    </row>
    <row r="119" spans="1:8" ht="19.5" customHeight="1" x14ac:dyDescent="0.3">
      <c r="A119" s="11" t="s">
        <v>222</v>
      </c>
      <c r="B119" s="178">
        <v>0.12</v>
      </c>
      <c r="C119" s="33" t="s">
        <v>47</v>
      </c>
      <c r="D119" s="109"/>
      <c r="E119" s="109"/>
      <c r="F119" s="109"/>
      <c r="G119" s="109"/>
      <c r="H119" s="109"/>
    </row>
    <row r="120" spans="1:8" ht="19.5" customHeight="1" x14ac:dyDescent="0.3">
      <c r="A120" s="11" t="s">
        <v>223</v>
      </c>
      <c r="B120" s="178">
        <v>0.08</v>
      </c>
      <c r="C120" s="33" t="s">
        <v>47</v>
      </c>
      <c r="D120" s="109"/>
      <c r="E120" s="109"/>
      <c r="F120" s="109"/>
      <c r="G120" s="109"/>
      <c r="H120" s="109"/>
    </row>
    <row r="121" spans="1:8" ht="19.5" customHeight="1" x14ac:dyDescent="0.3">
      <c r="A121" s="11" t="s">
        <v>224</v>
      </c>
      <c r="B121" s="178">
        <v>0.04</v>
      </c>
      <c r="C121" s="33" t="s">
        <v>47</v>
      </c>
      <c r="D121" s="109"/>
      <c r="E121" s="109"/>
      <c r="F121" s="109"/>
      <c r="G121" s="109"/>
      <c r="H121" s="109"/>
    </row>
    <row r="122" spans="1:8" ht="19.5" customHeight="1" x14ac:dyDescent="0.3">
      <c r="A122" s="11" t="s">
        <v>225</v>
      </c>
      <c r="B122" s="140">
        <f>B15</f>
        <v>0.125</v>
      </c>
      <c r="C122" s="33" t="s">
        <v>47</v>
      </c>
      <c r="D122" s="109"/>
      <c r="E122" s="109"/>
      <c r="F122" s="109"/>
      <c r="G122" s="109"/>
      <c r="H122" s="109"/>
    </row>
    <row r="123" spans="1:8" ht="19.5" customHeight="1" x14ac:dyDescent="0.3">
      <c r="A123" s="11" t="s">
        <v>153</v>
      </c>
      <c r="B123" s="178">
        <v>0.26</v>
      </c>
      <c r="C123" s="33" t="s">
        <v>47</v>
      </c>
      <c r="D123" s="109"/>
      <c r="E123" s="109"/>
      <c r="F123" s="109"/>
      <c r="G123" s="109"/>
      <c r="H123" s="109"/>
    </row>
    <row r="124" spans="1:8" ht="19.5" customHeight="1" x14ac:dyDescent="0.3">
      <c r="A124" s="11" t="s">
        <v>154</v>
      </c>
      <c r="B124" s="178">
        <v>0.03</v>
      </c>
      <c r="C124" s="33" t="s">
        <v>47</v>
      </c>
      <c r="D124" s="109"/>
      <c r="E124" s="109"/>
      <c r="F124" s="109"/>
      <c r="G124" s="109"/>
      <c r="H124" s="109"/>
    </row>
    <row r="125" spans="1:8" ht="19.5" customHeight="1" x14ac:dyDescent="0.3">
      <c r="A125" s="11" t="s">
        <v>226</v>
      </c>
      <c r="B125" s="178">
        <v>0.04</v>
      </c>
      <c r="C125" s="33" t="s">
        <v>47</v>
      </c>
      <c r="D125" s="109"/>
      <c r="E125" s="109"/>
      <c r="F125" s="109"/>
      <c r="G125" s="109"/>
      <c r="H125" s="109"/>
    </row>
    <row r="126" spans="1:8" ht="19.5" customHeight="1" x14ac:dyDescent="0.3">
      <c r="A126" s="11" t="s">
        <v>156</v>
      </c>
      <c r="B126" s="178">
        <v>0.02</v>
      </c>
      <c r="C126" s="33" t="s">
        <v>47</v>
      </c>
      <c r="D126" s="109"/>
      <c r="E126" s="109"/>
      <c r="F126" s="109"/>
      <c r="G126" s="109"/>
      <c r="H126" s="109"/>
    </row>
    <row r="127" spans="1:8" ht="7.5" customHeight="1" x14ac:dyDescent="0.3"/>
    <row r="128" spans="1:8" ht="21.75" customHeight="1" x14ac:dyDescent="0.3">
      <c r="A128" s="220" t="s">
        <v>227</v>
      </c>
      <c r="B128" s="220"/>
      <c r="C128" s="220"/>
      <c r="D128" s="220"/>
      <c r="E128" s="220"/>
      <c r="F128" s="220"/>
      <c r="G128" s="220"/>
      <c r="H128" s="220"/>
    </row>
    <row r="129" spans="1:8" ht="18" customHeight="1" x14ac:dyDescent="0.3">
      <c r="A129" s="11" t="s">
        <v>228</v>
      </c>
      <c r="B129" s="141">
        <f>B13</f>
        <v>140000</v>
      </c>
      <c r="C129" s="33" t="s">
        <v>80</v>
      </c>
      <c r="D129" s="109"/>
      <c r="E129" s="109"/>
      <c r="F129" s="109"/>
      <c r="G129" s="109"/>
      <c r="H129" s="109"/>
    </row>
    <row r="130" spans="1:8" ht="18" customHeight="1" x14ac:dyDescent="0.3">
      <c r="A130" s="11" t="s">
        <v>229</v>
      </c>
      <c r="B130" s="141">
        <f>B14</f>
        <v>17500</v>
      </c>
      <c r="C130" s="33" t="s">
        <v>80</v>
      </c>
      <c r="D130" s="109"/>
      <c r="E130" s="109"/>
      <c r="F130" s="109"/>
      <c r="G130" s="109"/>
      <c r="H130" s="109"/>
    </row>
    <row r="131" spans="1:8" ht="18" customHeight="1" x14ac:dyDescent="0.3">
      <c r="A131" s="11" t="s">
        <v>230</v>
      </c>
      <c r="B131" s="141">
        <f>B9</f>
        <v>5000</v>
      </c>
      <c r="C131" s="33" t="s">
        <v>80</v>
      </c>
      <c r="D131" s="109"/>
      <c r="E131" s="109"/>
      <c r="F131" s="109"/>
      <c r="G131" s="109"/>
      <c r="H131" s="109"/>
    </row>
    <row r="132" spans="1:8" ht="18" customHeight="1" x14ac:dyDescent="0.3">
      <c r="A132" s="11" t="s">
        <v>231</v>
      </c>
      <c r="B132" s="141">
        <f>B10</f>
        <v>20000</v>
      </c>
      <c r="C132" s="33" t="s">
        <v>80</v>
      </c>
      <c r="D132" s="109"/>
      <c r="E132" s="109"/>
      <c r="F132" s="109"/>
      <c r="G132" s="109"/>
      <c r="H132" s="109"/>
    </row>
    <row r="133" spans="1:8" ht="18" customHeight="1" x14ac:dyDescent="0.3">
      <c r="A133" s="11" t="s">
        <v>232</v>
      </c>
      <c r="B133" s="141">
        <f>B7</f>
        <v>30</v>
      </c>
      <c r="C133" s="33" t="s">
        <v>41</v>
      </c>
      <c r="D133" s="109"/>
      <c r="E133" s="109"/>
      <c r="F133" s="109"/>
      <c r="G133" s="109"/>
      <c r="H133" s="109"/>
    </row>
    <row r="134" spans="1:8" ht="18" customHeight="1" x14ac:dyDescent="0.3">
      <c r="A134" s="11" t="s">
        <v>122</v>
      </c>
      <c r="B134" s="141">
        <f>B6</f>
        <v>11500</v>
      </c>
      <c r="C134" s="33" t="s">
        <v>39</v>
      </c>
      <c r="D134" s="109"/>
      <c r="E134" s="109"/>
      <c r="F134" s="109"/>
      <c r="G134" s="109"/>
      <c r="H134" s="109"/>
    </row>
    <row r="135" spans="1:8" ht="9.75" customHeight="1" x14ac:dyDescent="0.3"/>
    <row r="136" spans="1:8" ht="21.75" customHeight="1" x14ac:dyDescent="0.3">
      <c r="A136" s="221" t="s">
        <v>233</v>
      </c>
      <c r="B136" s="221"/>
      <c r="C136" s="221"/>
      <c r="D136" s="221"/>
      <c r="E136" s="221"/>
      <c r="F136" s="221"/>
      <c r="G136" s="221"/>
      <c r="H136" s="221"/>
    </row>
    <row r="137" spans="1:8" ht="21.75" customHeight="1" x14ac:dyDescent="0.3">
      <c r="A137" s="1" t="s">
        <v>234</v>
      </c>
      <c r="B137" s="91" t="s">
        <v>158</v>
      </c>
      <c r="C137" s="91" t="s">
        <v>159</v>
      </c>
      <c r="D137" s="91" t="s">
        <v>160</v>
      </c>
      <c r="E137" s="91" t="s">
        <v>161</v>
      </c>
      <c r="F137" s="91" t="s">
        <v>162</v>
      </c>
      <c r="G137" s="91" t="s">
        <v>163</v>
      </c>
      <c r="H137" s="142" t="s">
        <v>164</v>
      </c>
    </row>
    <row r="138" spans="1:8" ht="19.5" customHeight="1" x14ac:dyDescent="0.3">
      <c r="A138" s="11" t="s">
        <v>235</v>
      </c>
      <c r="B138" s="143">
        <f>B13</f>
        <v>140000</v>
      </c>
      <c r="C138" s="144">
        <f>IFERROR(B138*(1+B119),"")</f>
        <v>156800.00000000003</v>
      </c>
      <c r="D138" s="144">
        <f>IFERROR(C138*(1+B119),"")</f>
        <v>175616.00000000006</v>
      </c>
      <c r="E138" s="144">
        <f>IFERROR(D138*(1+B119),"")</f>
        <v>196689.92000000007</v>
      </c>
      <c r="F138" s="144">
        <f>IFERROR(E138*(1+B120),"")</f>
        <v>212425.1136000001</v>
      </c>
      <c r="G138" s="144">
        <f>IFERROR(F138*(1+B120),"")</f>
        <v>229419.12268800012</v>
      </c>
      <c r="H138" s="145"/>
    </row>
    <row r="139" spans="1:8" ht="19.5" customHeight="1" x14ac:dyDescent="0.3">
      <c r="A139" s="11" t="s">
        <v>236</v>
      </c>
      <c r="B139" s="143">
        <f>B14</f>
        <v>17500</v>
      </c>
      <c r="C139" s="144">
        <f>IFERROR(C138*B122,"")</f>
        <v>19600.000000000004</v>
      </c>
      <c r="D139" s="144">
        <f>IFERROR(D138*B122,"")</f>
        <v>21952.000000000007</v>
      </c>
      <c r="E139" s="144">
        <f>IFERROR(E138*B122,"")</f>
        <v>24586.240000000009</v>
      </c>
      <c r="F139" s="144">
        <f>IFERROR(F138*B122,"")</f>
        <v>26553.139200000012</v>
      </c>
      <c r="G139" s="144">
        <f>IFERROR(G138*B122,"")</f>
        <v>28677.390336000015</v>
      </c>
      <c r="H139" s="145"/>
    </row>
    <row r="140" spans="1:8" ht="18" customHeight="1" x14ac:dyDescent="0.3">
      <c r="A140" s="33" t="s">
        <v>237</v>
      </c>
      <c r="B140" s="146">
        <f t="shared" ref="B140:G140" si="0">IFERROR(B139/B138,"")</f>
        <v>0.125</v>
      </c>
      <c r="C140" s="146">
        <f t="shared" si="0"/>
        <v>0.125</v>
      </c>
      <c r="D140" s="146">
        <f t="shared" si="0"/>
        <v>0.125</v>
      </c>
      <c r="E140" s="146">
        <f t="shared" si="0"/>
        <v>0.125</v>
      </c>
      <c r="F140" s="146">
        <f t="shared" si="0"/>
        <v>0.125</v>
      </c>
      <c r="G140" s="146">
        <f t="shared" si="0"/>
        <v>0.125</v>
      </c>
      <c r="H140" s="146"/>
    </row>
    <row r="141" spans="1:8" ht="19.5" customHeight="1" x14ac:dyDescent="0.3">
      <c r="A141" s="11" t="s">
        <v>238</v>
      </c>
      <c r="B141" s="144">
        <f>IFERROR(B138*B124,"")</f>
        <v>4200</v>
      </c>
      <c r="C141" s="144">
        <f>IFERROR(C138*B124,"")</f>
        <v>4704.0000000000009</v>
      </c>
      <c r="D141" s="144">
        <f>IFERROR(D138*B124,"")</f>
        <v>5268.4800000000014</v>
      </c>
      <c r="E141" s="144">
        <f>IFERROR(E138*B124,"")</f>
        <v>5900.6976000000022</v>
      </c>
      <c r="F141" s="144">
        <f>IFERROR(F138*B124,"")</f>
        <v>6372.7534080000023</v>
      </c>
      <c r="G141" s="144">
        <f>IFERROR(G138*B124,"")</f>
        <v>6882.5736806400037</v>
      </c>
      <c r="H141" s="145"/>
    </row>
    <row r="142" spans="1:8" ht="19.5" customHeight="1" x14ac:dyDescent="0.3">
      <c r="A142" s="16" t="s">
        <v>239</v>
      </c>
      <c r="B142" s="30">
        <f t="shared" ref="B142:G142" si="1">IFERROR(B139-B141,"")</f>
        <v>13300</v>
      </c>
      <c r="C142" s="30">
        <f t="shared" si="1"/>
        <v>14896.000000000004</v>
      </c>
      <c r="D142" s="30">
        <f t="shared" si="1"/>
        <v>16683.520000000004</v>
      </c>
      <c r="E142" s="30">
        <f t="shared" si="1"/>
        <v>18685.542400000006</v>
      </c>
      <c r="F142" s="30">
        <f t="shared" si="1"/>
        <v>20180.385792000008</v>
      </c>
      <c r="G142" s="30">
        <f t="shared" si="1"/>
        <v>21794.816655360009</v>
      </c>
      <c r="H142" s="145"/>
    </row>
    <row r="143" spans="1:8" ht="19.5" customHeight="1" x14ac:dyDescent="0.3">
      <c r="A143" s="16" t="s">
        <v>240</v>
      </c>
      <c r="B143" s="30">
        <f>IFERROR(B142*B123,"")</f>
        <v>3458</v>
      </c>
      <c r="C143" s="30">
        <f>IFERROR(C142*B123,"")</f>
        <v>3872.9600000000009</v>
      </c>
      <c r="D143" s="30">
        <f>IFERROR(D142*B123,"")</f>
        <v>4337.7152000000015</v>
      </c>
      <c r="E143" s="30">
        <f>IFERROR(E142*B123,"")</f>
        <v>4858.2410240000017</v>
      </c>
      <c r="F143" s="30">
        <f>IFERROR(F142*B123,"")</f>
        <v>5246.9003059200022</v>
      </c>
      <c r="G143" s="30">
        <f>IFERROR(G142*B123,"")</f>
        <v>5666.6523303936028</v>
      </c>
      <c r="H143" s="145"/>
    </row>
    <row r="144" spans="1:8" ht="19.5" customHeight="1" x14ac:dyDescent="0.3">
      <c r="A144" s="34" t="s">
        <v>241</v>
      </c>
      <c r="B144" s="147">
        <f t="shared" ref="B144:G144" si="2">IFERROR(B142-B143,"")</f>
        <v>9842</v>
      </c>
      <c r="C144" s="147">
        <f t="shared" si="2"/>
        <v>11023.040000000003</v>
      </c>
      <c r="D144" s="147">
        <f t="shared" si="2"/>
        <v>12345.804800000002</v>
      </c>
      <c r="E144" s="147">
        <f t="shared" si="2"/>
        <v>13827.301376000003</v>
      </c>
      <c r="F144" s="147">
        <f t="shared" si="2"/>
        <v>14933.485486080006</v>
      </c>
      <c r="G144" s="147">
        <f t="shared" si="2"/>
        <v>16128.164324966407</v>
      </c>
      <c r="H144" s="93"/>
    </row>
    <row r="145" spans="1:8" ht="19.5" customHeight="1" x14ac:dyDescent="0.3">
      <c r="A145" s="148" t="s">
        <v>242</v>
      </c>
      <c r="B145" s="145">
        <f>IFERROR(-B138*B125,"")</f>
        <v>-5600</v>
      </c>
      <c r="C145" s="145">
        <f>IFERROR(-C138*B125,"")</f>
        <v>-6272.0000000000009</v>
      </c>
      <c r="D145" s="145">
        <f>IFERROR(-D138*B125,"")</f>
        <v>-7024.6400000000021</v>
      </c>
      <c r="E145" s="145">
        <f>IFERROR(-E138*B125,"")</f>
        <v>-7867.596800000003</v>
      </c>
      <c r="F145" s="145">
        <f>IFERROR(-F138*B125,"")</f>
        <v>-8497.0045440000049</v>
      </c>
      <c r="G145" s="145">
        <f>IFERROR(-G138*B125,"")</f>
        <v>-9176.7649075200043</v>
      </c>
      <c r="H145" s="145"/>
    </row>
    <row r="146" spans="1:8" ht="19.5" customHeight="1" x14ac:dyDescent="0.3">
      <c r="A146" s="148" t="s">
        <v>243</v>
      </c>
      <c r="B146" s="145">
        <f>IFERROR(-B138*B126,"")</f>
        <v>-2800</v>
      </c>
      <c r="C146" s="145">
        <f>IFERROR(-C138*B126,"")</f>
        <v>-3136.0000000000005</v>
      </c>
      <c r="D146" s="145">
        <f>IFERROR(-D138*B126,"")</f>
        <v>-3512.3200000000011</v>
      </c>
      <c r="E146" s="145">
        <f>IFERROR(-E138*B126,"")</f>
        <v>-3933.7984000000015</v>
      </c>
      <c r="F146" s="145">
        <f>IFERROR(-F138*B126,"")</f>
        <v>-4248.5022720000024</v>
      </c>
      <c r="G146" s="145">
        <f>IFERROR(-G138*B126,"")</f>
        <v>-4588.3824537600021</v>
      </c>
      <c r="H146" s="145"/>
    </row>
    <row r="147" spans="1:8" ht="19.5" customHeight="1" x14ac:dyDescent="0.3">
      <c r="A147" s="148" t="s">
        <v>244</v>
      </c>
      <c r="B147" s="145">
        <f t="shared" ref="B147:G147" si="3">IFERROR(B141,"")</f>
        <v>4200</v>
      </c>
      <c r="C147" s="145">
        <f t="shared" si="3"/>
        <v>4704.0000000000009</v>
      </c>
      <c r="D147" s="145">
        <f t="shared" si="3"/>
        <v>5268.4800000000014</v>
      </c>
      <c r="E147" s="145">
        <f t="shared" si="3"/>
        <v>5900.6976000000022</v>
      </c>
      <c r="F147" s="145">
        <f t="shared" si="3"/>
        <v>6372.7534080000023</v>
      </c>
      <c r="G147" s="145">
        <f t="shared" si="3"/>
        <v>6882.5736806400037</v>
      </c>
      <c r="H147" s="145"/>
    </row>
    <row r="148" spans="1:8" ht="24" customHeight="1" x14ac:dyDescent="0.3">
      <c r="A148" s="23" t="s">
        <v>245</v>
      </c>
      <c r="B148" s="149"/>
      <c r="C148" s="95">
        <f t="shared" ref="C148:G148" si="4">IFERROR(C144+C147+C145+C146,"")</f>
        <v>6319.0400000000045</v>
      </c>
      <c r="D148" s="95">
        <f t="shared" si="4"/>
        <v>7077.3247999999967</v>
      </c>
      <c r="E148" s="95">
        <f t="shared" si="4"/>
        <v>7926.6037760000017</v>
      </c>
      <c r="F148" s="95">
        <f t="shared" si="4"/>
        <v>8560.7320780800001</v>
      </c>
      <c r="G148" s="95">
        <f t="shared" si="4"/>
        <v>9245.590644326403</v>
      </c>
      <c r="H148" s="93"/>
    </row>
    <row r="149" spans="1:8" ht="4.5" customHeight="1" x14ac:dyDescent="0.3"/>
    <row r="150" spans="1:8" ht="19.5" customHeight="1" x14ac:dyDescent="0.3">
      <c r="A150" s="150" t="s">
        <v>246</v>
      </c>
      <c r="B150" s="151"/>
      <c r="C150" s="151"/>
      <c r="D150" s="151"/>
      <c r="E150" s="151"/>
      <c r="F150" s="151"/>
      <c r="G150" s="151"/>
      <c r="H150" s="152">
        <f>IFERROR(G148*(1+B121)/(B118-B121),"")</f>
        <v>120192.67837624326</v>
      </c>
    </row>
    <row r="151" spans="1:8" ht="18" customHeight="1" x14ac:dyDescent="0.3">
      <c r="A151" s="36" t="s">
        <v>247</v>
      </c>
      <c r="B151" s="153" t="s">
        <v>248</v>
      </c>
      <c r="C151" s="154">
        <f>IFERROR(1/(1+B118)^1,"")</f>
        <v>0.89285714285714279</v>
      </c>
      <c r="D151" s="154">
        <f>IFERROR(1/(1+B118)^2,"")</f>
        <v>0.79719387755102034</v>
      </c>
      <c r="E151" s="154">
        <f>IFERROR(1/(1+B118)^3,"")</f>
        <v>0.71178024781341087</v>
      </c>
      <c r="F151" s="154">
        <f>IFERROR(1/(1+B118)^4,"")</f>
        <v>0.63551807840483121</v>
      </c>
      <c r="G151" s="154">
        <f>IFERROR(1/(1+B118)^5,"")</f>
        <v>0.56742685571859919</v>
      </c>
      <c r="H151" s="155">
        <f>IFERROR(1/(1+B118)^5,"")</f>
        <v>0.56742685571859919</v>
      </c>
    </row>
    <row r="152" spans="1:8" ht="19.5" customHeight="1" x14ac:dyDescent="0.3">
      <c r="A152" s="23" t="s">
        <v>249</v>
      </c>
      <c r="B152" s="156" t="s">
        <v>248</v>
      </c>
      <c r="C152" s="95">
        <f>IFERROR(C148*C151,"")</f>
        <v>5642.0000000000036</v>
      </c>
      <c r="D152" s="95">
        <f>IFERROR(D148*D151,"")</f>
        <v>5641.9999999999973</v>
      </c>
      <c r="E152" s="95">
        <f>IFERROR(E148*E151,"")</f>
        <v>5642</v>
      </c>
      <c r="F152" s="95">
        <f>IFERROR(F148*F151,"")</f>
        <v>5440.4999999999991</v>
      </c>
      <c r="G152" s="95">
        <f>IFERROR(G148*G151,"")</f>
        <v>5246.1964285714284</v>
      </c>
      <c r="H152" s="93">
        <f>IFERROR(H150*H151,"")</f>
        <v>68200.55357142858</v>
      </c>
    </row>
    <row r="153" spans="1:8" ht="4.5" customHeight="1" x14ac:dyDescent="0.3"/>
    <row r="154" spans="1:8" ht="25.5" customHeight="1" x14ac:dyDescent="0.3">
      <c r="A154" s="157" t="s">
        <v>250</v>
      </c>
      <c r="B154" s="158">
        <f>IFERROR(C152+D152+E152+F152+G152+H152,"")</f>
        <v>95813.25</v>
      </c>
      <c r="C154" s="159" t="s">
        <v>80</v>
      </c>
      <c r="D154" s="160"/>
      <c r="E154" s="160"/>
      <c r="F154" s="160"/>
      <c r="G154" s="160"/>
      <c r="H154" s="160"/>
    </row>
    <row r="155" spans="1:8" ht="19.5" customHeight="1" x14ac:dyDescent="0.3">
      <c r="A155" s="161" t="s">
        <v>251</v>
      </c>
      <c r="B155" s="162">
        <f>IFERROR(B154-B9+B10,"")</f>
        <v>110813.25</v>
      </c>
      <c r="C155" s="163" t="s">
        <v>80</v>
      </c>
      <c r="D155" s="149"/>
      <c r="E155" s="149"/>
      <c r="F155" s="149"/>
      <c r="G155" s="149"/>
      <c r="H155" s="149"/>
    </row>
    <row r="156" spans="1:8" ht="30" customHeight="1" x14ac:dyDescent="0.3">
      <c r="A156" s="164" t="s">
        <v>252</v>
      </c>
      <c r="B156" s="165">
        <f>IFERROR(B155/B7,"")</f>
        <v>3693.7750000000001</v>
      </c>
      <c r="C156" s="166" t="s">
        <v>39</v>
      </c>
      <c r="D156" s="167"/>
      <c r="E156" s="167"/>
      <c r="F156" s="167"/>
      <c r="G156" s="167"/>
      <c r="H156" s="167"/>
    </row>
    <row r="157" spans="1:8" ht="19.5" customHeight="1" x14ac:dyDescent="0.3">
      <c r="A157" s="19" t="s">
        <v>253</v>
      </c>
      <c r="B157" s="168">
        <f>IFERROR((B156-B6)/B6,"")</f>
        <v>-0.67880217391304354</v>
      </c>
      <c r="C157" s="169" t="s">
        <v>47</v>
      </c>
      <c r="D157" s="170"/>
      <c r="E157" s="170"/>
      <c r="F157" s="170"/>
      <c r="G157" s="170"/>
      <c r="H157" s="170"/>
    </row>
    <row r="158" spans="1:8" ht="9.75" customHeight="1" x14ac:dyDescent="0.3"/>
    <row r="159" spans="1:8" ht="21.75" customHeight="1" x14ac:dyDescent="0.3">
      <c r="A159" s="220" t="s">
        <v>254</v>
      </c>
      <c r="B159" s="220"/>
      <c r="C159" s="220"/>
      <c r="D159" s="220"/>
      <c r="E159" s="220"/>
      <c r="F159" s="220"/>
      <c r="G159" s="220"/>
      <c r="H159" s="220"/>
    </row>
    <row r="160" spans="1:8" ht="19.5" customHeight="1" x14ac:dyDescent="0.3">
      <c r="A160" s="171" t="s">
        <v>255</v>
      </c>
      <c r="B160" s="218" t="s">
        <v>256</v>
      </c>
      <c r="C160" s="218"/>
      <c r="D160" s="218"/>
      <c r="E160" s="218"/>
      <c r="F160" s="218"/>
      <c r="G160" s="218"/>
      <c r="H160" s="218"/>
    </row>
    <row r="161" spans="1:8" ht="19.5" customHeight="1" x14ac:dyDescent="0.3">
      <c r="A161" s="171" t="s">
        <v>257</v>
      </c>
      <c r="B161" s="218" t="s">
        <v>258</v>
      </c>
      <c r="C161" s="218"/>
      <c r="D161" s="218"/>
      <c r="E161" s="218"/>
      <c r="F161" s="218"/>
      <c r="G161" s="218"/>
      <c r="H161" s="218"/>
    </row>
    <row r="162" spans="1:8" ht="19.5" customHeight="1" x14ac:dyDescent="0.3">
      <c r="A162" s="171" t="s">
        <v>259</v>
      </c>
      <c r="B162" s="218" t="s">
        <v>260</v>
      </c>
      <c r="C162" s="218"/>
      <c r="D162" s="218"/>
      <c r="E162" s="218"/>
      <c r="F162" s="218"/>
      <c r="G162" s="218"/>
      <c r="H162" s="218"/>
    </row>
    <row r="163" spans="1:8" ht="19.5" customHeight="1" x14ac:dyDescent="0.3">
      <c r="A163" s="171" t="s">
        <v>261</v>
      </c>
      <c r="B163" s="218" t="s">
        <v>262</v>
      </c>
      <c r="C163" s="218"/>
      <c r="D163" s="218"/>
      <c r="E163" s="218"/>
      <c r="F163" s="218"/>
      <c r="G163" s="218"/>
      <c r="H163" s="218"/>
    </row>
    <row r="164" spans="1:8" ht="19.5" customHeight="1" x14ac:dyDescent="0.3">
      <c r="A164" s="171" t="s">
        <v>263</v>
      </c>
      <c r="B164" s="218" t="s">
        <v>264</v>
      </c>
      <c r="C164" s="218"/>
      <c r="D164" s="218"/>
      <c r="E164" s="218"/>
      <c r="F164" s="218"/>
      <c r="G164" s="218"/>
      <c r="H164" s="218"/>
    </row>
    <row r="165" spans="1:8" ht="25.2" customHeight="1" x14ac:dyDescent="0.3">
      <c r="A165" s="171" t="s">
        <v>265</v>
      </c>
      <c r="B165" s="218" t="s">
        <v>282</v>
      </c>
      <c r="C165" s="218"/>
      <c r="D165" s="218"/>
      <c r="E165" s="218"/>
      <c r="F165" s="218"/>
      <c r="G165" s="218"/>
      <c r="H165" s="218"/>
    </row>
    <row r="166" spans="1:8" ht="7.5" customHeight="1" x14ac:dyDescent="0.3"/>
    <row r="167" spans="1:8" ht="36" customHeight="1" x14ac:dyDescent="0.3">
      <c r="A167" s="219" t="s">
        <v>267</v>
      </c>
      <c r="B167" s="219"/>
      <c r="C167" s="219"/>
      <c r="D167" s="219"/>
      <c r="E167" s="219"/>
      <c r="F167" s="219"/>
      <c r="G167" s="219"/>
      <c r="H167" s="219"/>
    </row>
  </sheetData>
  <mergeCells count="38">
    <mergeCell ref="A1:C1"/>
    <mergeCell ref="A2:C2"/>
    <mergeCell ref="A4:C4"/>
    <mergeCell ref="A12:C12"/>
    <mergeCell ref="A20:C20"/>
    <mergeCell ref="A25:C25"/>
    <mergeCell ref="A29:C29"/>
    <mergeCell ref="A33:C33"/>
    <mergeCell ref="A37:C37"/>
    <mergeCell ref="A46:C46"/>
    <mergeCell ref="A53:C53"/>
    <mergeCell ref="A54:C54"/>
    <mergeCell ref="A56:C56"/>
    <mergeCell ref="A61:C61"/>
    <mergeCell ref="A67:C67"/>
    <mergeCell ref="A72:C72"/>
    <mergeCell ref="A76:C76"/>
    <mergeCell ref="A79:C79"/>
    <mergeCell ref="A80:C80"/>
    <mergeCell ref="A82:C82"/>
    <mergeCell ref="A86:C86"/>
    <mergeCell ref="A98:C98"/>
    <mergeCell ref="A102:C102"/>
    <mergeCell ref="A111:C111"/>
    <mergeCell ref="A114:H114"/>
    <mergeCell ref="B165:H165"/>
    <mergeCell ref="A167:H167"/>
    <mergeCell ref="A96:C96"/>
    <mergeCell ref="B160:H160"/>
    <mergeCell ref="B161:H161"/>
    <mergeCell ref="B162:H162"/>
    <mergeCell ref="B163:H163"/>
    <mergeCell ref="B164:H164"/>
    <mergeCell ref="A115:H115"/>
    <mergeCell ref="A117:H117"/>
    <mergeCell ref="A128:H128"/>
    <mergeCell ref="A136:H136"/>
    <mergeCell ref="A159:H159"/>
  </mergeCells>
  <conditionalFormatting sqref="B59">
    <cfRule type="expression" dxfId="282" priority="2">
      <formula>B44&gt;0.2</formula>
    </cfRule>
    <cfRule type="expression" dxfId="281" priority="3">
      <formula>AND(B44&gt;0.1,B44&lt;=0.2)</formula>
    </cfRule>
    <cfRule type="expression" dxfId="280" priority="4">
      <formula>AND(B44&gt;=-0.1,B44&lt;=0.1)</formula>
    </cfRule>
    <cfRule type="expression" dxfId="279" priority="5">
      <formula>AND(B44&gt;=-0.2,B44&lt;-0.1)</formula>
    </cfRule>
    <cfRule type="expression" dxfId="278" priority="6">
      <formula>B44&lt;-0.2</formula>
    </cfRule>
  </conditionalFormatting>
  <conditionalFormatting sqref="B62">
    <cfRule type="expression" dxfId="277" priority="7">
      <formula>B27&gt;0.2</formula>
    </cfRule>
    <cfRule type="expression" dxfId="276" priority="8">
      <formula>AND(B27&gt;0.1,B27&lt;=0.2)</formula>
    </cfRule>
    <cfRule type="expression" dxfId="275" priority="9">
      <formula>AND(B27&gt;=-0.1,B27&lt;=0.1)</formula>
    </cfRule>
    <cfRule type="expression" dxfId="274" priority="10">
      <formula>AND(B27&gt;=-0.2,B27&lt;-0.1)</formula>
    </cfRule>
    <cfRule type="expression" dxfId="273" priority="11">
      <formula>B27&lt;-0.2</formula>
    </cfRule>
  </conditionalFormatting>
  <conditionalFormatting sqref="B63:B65">
    <cfRule type="expression" dxfId="272" priority="12">
      <formula>B31&gt;0.2</formula>
    </cfRule>
    <cfRule type="expression" dxfId="271" priority="13">
      <formula>AND(B31&gt;0.1,B31&lt;=0.2)</formula>
    </cfRule>
    <cfRule type="expression" dxfId="270" priority="14">
      <formula>AND(B31&gt;=-0.1,B31&lt;=0.1)</formula>
    </cfRule>
    <cfRule type="expression" dxfId="269" priority="15">
      <formula>AND(B31&gt;=-0.2,B31&lt;-0.1)</formula>
    </cfRule>
    <cfRule type="expression" dxfId="268" priority="16">
      <formula>B31&lt;-0.2</formula>
    </cfRule>
  </conditionalFormatting>
  <conditionalFormatting sqref="B73">
    <cfRule type="expression" dxfId="267" priority="22">
      <formula>B44&gt;0.2</formula>
    </cfRule>
    <cfRule type="expression" dxfId="266" priority="23">
      <formula>AND(B44&gt;0.1,B44&lt;=0.2)</formula>
    </cfRule>
    <cfRule type="expression" dxfId="265" priority="24">
      <formula>AND(B44&gt;=-0.1,B44&lt;=0.1)</formula>
    </cfRule>
    <cfRule type="expression" dxfId="264" priority="25">
      <formula>AND(B44&gt;=-0.2,B44&lt;-0.1)</formula>
    </cfRule>
    <cfRule type="expression" dxfId="263" priority="26">
      <formula>B44&lt;-0.2</formula>
    </cfRule>
  </conditionalFormatting>
  <conditionalFormatting sqref="B74">
    <cfRule type="expression" dxfId="262" priority="27">
      <formula>B44&gt;0.2</formula>
    </cfRule>
    <cfRule type="expression" dxfId="261" priority="28">
      <formula>AND(B44&gt;0.1,B44&lt;=0.2)</formula>
    </cfRule>
    <cfRule type="expression" dxfId="260" priority="29">
      <formula>AND(B44&gt;=-0.1,B44&lt;=0.1)</formula>
    </cfRule>
    <cfRule type="expression" dxfId="259" priority="30">
      <formula>AND(B44&gt;=-0.2,B44&lt;-0.1)</formula>
    </cfRule>
    <cfRule type="expression" dxfId="258" priority="31">
      <formula>B44&lt;-0.2</formula>
    </cfRule>
  </conditionalFormatting>
  <conditionalFormatting sqref="B100">
    <cfRule type="expression" dxfId="257" priority="44">
      <formula>B6&lt;=B43*(1-B83*1.5)</formula>
    </cfRule>
    <cfRule type="expression" dxfId="256" priority="49">
      <formula>B6&gt;B43*1.15</formula>
    </cfRule>
    <cfRule type="expression" dxfId="255" priority="45">
      <formula>AND(B6&gt;B43*(1-B83*1.5),B6&lt;=B43*(1-B83))</formula>
    </cfRule>
    <cfRule type="expression" dxfId="254" priority="46">
      <formula>AND(B6&gt;B43*(1-B83),B6&lt;=B43*(1-B83*0.5))</formula>
    </cfRule>
    <cfRule type="expression" dxfId="253" priority="47">
      <formula>AND(B6&gt;B43*(1-B83*0.5),B6&lt;=B43)</formula>
    </cfRule>
    <cfRule type="expression" dxfId="252" priority="48">
      <formula>AND(B6&gt;B43,B6&lt;=B43*1.15)</formula>
    </cfRule>
  </conditionalFormatting>
  <conditionalFormatting sqref="C88">
    <cfRule type="expression" dxfId="251" priority="32">
      <formula>B6&lt;B88</formula>
    </cfRule>
    <cfRule type="expression" dxfId="250" priority="33">
      <formula>B6&gt;=B88</formula>
    </cfRule>
  </conditionalFormatting>
  <conditionalFormatting sqref="C89">
    <cfRule type="expression" dxfId="249" priority="34">
      <formula>B6&lt;B89</formula>
    </cfRule>
    <cfRule type="expression" dxfId="248" priority="35">
      <formula>B6&gt;=B89</formula>
    </cfRule>
  </conditionalFormatting>
  <conditionalFormatting sqref="C90">
    <cfRule type="expression" dxfId="247" priority="36">
      <formula>B6&lt;B90</formula>
    </cfRule>
    <cfRule type="expression" dxfId="246" priority="37">
      <formula>B6&gt;=B90</formula>
    </cfRule>
  </conditionalFormatting>
  <conditionalFormatting sqref="C91">
    <cfRule type="expression" dxfId="245" priority="38">
      <formula>B6&lt;B91</formula>
    </cfRule>
    <cfRule type="expression" dxfId="244" priority="39">
      <formula>B6&gt;=B91</formula>
    </cfRule>
  </conditionalFormatting>
  <conditionalFormatting sqref="C92">
    <cfRule type="expression" dxfId="243" priority="40">
      <formula>B6&lt;B92</formula>
    </cfRule>
    <cfRule type="expression" dxfId="242" priority="41">
      <formula>B6&gt;=B92</formula>
    </cfRule>
  </conditionalFormatting>
  <conditionalFormatting sqref="C93">
    <cfRule type="expression" dxfId="241" priority="42">
      <formula>B6&lt;B93</formula>
    </cfRule>
    <cfRule type="expression" dxfId="240" priority="43">
      <formula>B6&gt;=B93</formula>
    </cfRule>
  </conditionalFormatting>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7"/>
  <sheetViews>
    <sheetView showGridLines="0" topLeftCell="A59" zoomScaleNormal="100" workbookViewId="0">
      <selection activeCell="A96" sqref="A96:C96"/>
    </sheetView>
  </sheetViews>
  <sheetFormatPr defaultColWidth="8.6640625" defaultRowHeight="14.4" x14ac:dyDescent="0.3"/>
  <cols>
    <col min="1" max="1" width="70.88671875" customWidth="1"/>
    <col min="2" max="2" width="23.33203125" customWidth="1"/>
    <col min="3" max="3" width="28.88671875" customWidth="1"/>
    <col min="4" max="7" width="13" customWidth="1"/>
    <col min="8" max="8" width="14" customWidth="1"/>
  </cols>
  <sheetData>
    <row r="1" spans="1:3" ht="31.5" customHeight="1" x14ac:dyDescent="0.3">
      <c r="A1" s="206" t="s">
        <v>283</v>
      </c>
      <c r="B1" s="206"/>
      <c r="C1" s="206"/>
    </row>
    <row r="2" spans="1:3" ht="27.75" customHeight="1" x14ac:dyDescent="0.3">
      <c r="A2" s="207" t="s">
        <v>284</v>
      </c>
      <c r="B2" s="207"/>
      <c r="C2" s="207"/>
    </row>
    <row r="3" spans="1:3" ht="7.5" customHeight="1" x14ac:dyDescent="0.3"/>
    <row r="4" spans="1:3" ht="19.5" customHeight="1" x14ac:dyDescent="0.3">
      <c r="A4" s="208" t="s">
        <v>35</v>
      </c>
      <c r="B4" s="208"/>
      <c r="C4" s="208"/>
    </row>
    <row r="5" spans="1:3" ht="18" customHeight="1" x14ac:dyDescent="0.3">
      <c r="A5" s="179" t="s">
        <v>36</v>
      </c>
      <c r="B5" s="180" t="s">
        <v>285</v>
      </c>
      <c r="C5" s="181"/>
    </row>
    <row r="6" spans="1:3" ht="18" customHeight="1" x14ac:dyDescent="0.3">
      <c r="A6" s="179" t="s">
        <v>38</v>
      </c>
      <c r="B6" s="182">
        <v>2400</v>
      </c>
      <c r="C6" s="181" t="s">
        <v>39</v>
      </c>
    </row>
    <row r="7" spans="1:3" ht="18" customHeight="1" x14ac:dyDescent="0.3">
      <c r="A7" s="179" t="s">
        <v>40</v>
      </c>
      <c r="B7" s="183">
        <v>235</v>
      </c>
      <c r="C7" s="181" t="s">
        <v>41</v>
      </c>
    </row>
    <row r="8" spans="1:3" ht="18" customHeight="1" x14ac:dyDescent="0.3">
      <c r="A8" s="179" t="s">
        <v>143</v>
      </c>
      <c r="B8" s="182">
        <v>42</v>
      </c>
      <c r="C8" s="181" t="s">
        <v>39</v>
      </c>
    </row>
    <row r="9" spans="1:3" ht="18" customHeight="1" x14ac:dyDescent="0.3">
      <c r="A9" s="179" t="s">
        <v>44</v>
      </c>
      <c r="B9" s="182">
        <v>24</v>
      </c>
      <c r="C9" s="181" t="s">
        <v>39</v>
      </c>
    </row>
    <row r="10" spans="1:3" ht="18" customHeight="1" x14ac:dyDescent="0.3">
      <c r="A10" s="179" t="s">
        <v>146</v>
      </c>
      <c r="B10" s="183">
        <v>2500</v>
      </c>
      <c r="C10" s="181" t="s">
        <v>80</v>
      </c>
    </row>
    <row r="11" spans="1:3" ht="18" customHeight="1" x14ac:dyDescent="0.3">
      <c r="A11" s="179" t="s">
        <v>147</v>
      </c>
      <c r="B11" s="183">
        <v>5000</v>
      </c>
      <c r="C11" s="181" t="s">
        <v>80</v>
      </c>
    </row>
    <row r="12" spans="1:3" ht="7.5" customHeight="1" x14ac:dyDescent="0.3"/>
    <row r="13" spans="1:3" ht="19.5" customHeight="1" x14ac:dyDescent="0.3">
      <c r="A13" s="208" t="s">
        <v>45</v>
      </c>
      <c r="B13" s="208"/>
      <c r="C13" s="208"/>
    </row>
    <row r="14" spans="1:3" ht="18" customHeight="1" x14ac:dyDescent="0.3">
      <c r="A14" s="179" t="s">
        <v>145</v>
      </c>
      <c r="B14" s="183">
        <v>60000</v>
      </c>
      <c r="C14" s="181" t="s">
        <v>80</v>
      </c>
    </row>
    <row r="15" spans="1:3" ht="18" customHeight="1" x14ac:dyDescent="0.3">
      <c r="A15" s="179" t="s">
        <v>144</v>
      </c>
      <c r="B15" s="183">
        <v>14000</v>
      </c>
      <c r="C15" s="181" t="s">
        <v>80</v>
      </c>
    </row>
    <row r="16" spans="1:3" ht="18" customHeight="1" x14ac:dyDescent="0.3">
      <c r="A16" s="179" t="s">
        <v>200</v>
      </c>
      <c r="B16" s="191">
        <v>0.23</v>
      </c>
      <c r="C16" s="181" t="s">
        <v>47</v>
      </c>
    </row>
    <row r="17" spans="1:3" ht="7.5" customHeight="1" x14ac:dyDescent="0.3"/>
    <row r="18" spans="1:3" ht="19.5" customHeight="1" x14ac:dyDescent="0.3">
      <c r="A18" s="208" t="s">
        <v>54</v>
      </c>
      <c r="B18" s="208"/>
      <c r="C18" s="208"/>
    </row>
    <row r="19" spans="1:3" ht="18" customHeight="1" x14ac:dyDescent="0.3">
      <c r="A19" s="179" t="s">
        <v>176</v>
      </c>
      <c r="B19" s="192">
        <v>55</v>
      </c>
      <c r="C19" s="181" t="s">
        <v>60</v>
      </c>
    </row>
    <row r="20" spans="1:3" ht="18" customHeight="1" x14ac:dyDescent="0.3">
      <c r="A20" s="179" t="s">
        <v>178</v>
      </c>
      <c r="B20" s="192">
        <v>40</v>
      </c>
      <c r="C20" s="181" t="s">
        <v>60</v>
      </c>
    </row>
    <row r="21" spans="1:3" ht="18" customHeight="1" x14ac:dyDescent="0.3">
      <c r="A21" s="179" t="s">
        <v>205</v>
      </c>
      <c r="B21" s="191">
        <v>0.1</v>
      </c>
      <c r="C21" s="181" t="s">
        <v>47</v>
      </c>
    </row>
    <row r="22" spans="1:3" ht="18" customHeight="1" x14ac:dyDescent="0.3">
      <c r="A22" s="179" t="s">
        <v>207</v>
      </c>
      <c r="B22" s="191">
        <v>0.18</v>
      </c>
      <c r="C22" s="181" t="s">
        <v>47</v>
      </c>
    </row>
    <row r="23" spans="1:3" ht="18" customHeight="1" x14ac:dyDescent="0.3">
      <c r="A23" s="179" t="s">
        <v>286</v>
      </c>
      <c r="B23" s="191">
        <v>0.1</v>
      </c>
      <c r="C23" s="181" t="s">
        <v>47</v>
      </c>
    </row>
    <row r="24" spans="1:3" ht="18" customHeight="1" x14ac:dyDescent="0.3">
      <c r="A24" s="179" t="s">
        <v>287</v>
      </c>
      <c r="B24" s="191">
        <v>0.05</v>
      </c>
      <c r="C24" s="181" t="s">
        <v>47</v>
      </c>
    </row>
    <row r="25" spans="1:3" ht="7.5" customHeight="1" x14ac:dyDescent="0.3"/>
    <row r="26" spans="1:3" ht="19.5" customHeight="1" x14ac:dyDescent="0.3">
      <c r="A26" s="205" t="s">
        <v>288</v>
      </c>
      <c r="B26" s="205"/>
      <c r="C26" s="205"/>
    </row>
    <row r="27" spans="1:3" ht="18" customHeight="1" x14ac:dyDescent="0.3">
      <c r="A27" s="16" t="s">
        <v>68</v>
      </c>
      <c r="B27" s="17">
        <f>IFERROR(B19*B8,"")</f>
        <v>2310</v>
      </c>
      <c r="C27" s="18" t="s">
        <v>39</v>
      </c>
    </row>
    <row r="28" spans="1:3" ht="18" customHeight="1" x14ac:dyDescent="0.3">
      <c r="A28" s="19" t="s">
        <v>62</v>
      </c>
      <c r="B28" s="20">
        <f>IFERROR((B27-B6)/B6,"")</f>
        <v>-3.7499999999999999E-2</v>
      </c>
      <c r="C28" s="21" t="s">
        <v>47</v>
      </c>
    </row>
    <row r="29" spans="1:3" ht="7.5" customHeight="1" x14ac:dyDescent="0.3"/>
    <row r="30" spans="1:3" ht="19.5" customHeight="1" x14ac:dyDescent="0.3">
      <c r="A30" s="205" t="s">
        <v>289</v>
      </c>
      <c r="B30" s="205"/>
      <c r="C30" s="205"/>
    </row>
    <row r="31" spans="1:3" ht="18" customHeight="1" x14ac:dyDescent="0.3">
      <c r="A31" s="16" t="s">
        <v>209</v>
      </c>
      <c r="B31" s="17">
        <f>IFERROR((B20*B15-B10+B11)/B7,"")</f>
        <v>2393.6170212765956</v>
      </c>
      <c r="C31" s="18" t="s">
        <v>39</v>
      </c>
    </row>
    <row r="32" spans="1:3" ht="18" customHeight="1" x14ac:dyDescent="0.3">
      <c r="A32" s="19" t="s">
        <v>62</v>
      </c>
      <c r="B32" s="20">
        <f>IFERROR((B31-B6)/B6,"")</f>
        <v>-2.659574468085187E-3</v>
      </c>
      <c r="C32" s="21" t="s">
        <v>47</v>
      </c>
    </row>
    <row r="33" spans="1:3" ht="7.5" customHeight="1" x14ac:dyDescent="0.3"/>
    <row r="34" spans="1:3" ht="19.5" customHeight="1" x14ac:dyDescent="0.3">
      <c r="A34" s="205" t="s">
        <v>210</v>
      </c>
      <c r="B34" s="205"/>
      <c r="C34" s="205"/>
    </row>
    <row r="35" spans="1:3" ht="18" customHeight="1" x14ac:dyDescent="0.3">
      <c r="A35" s="16" t="s">
        <v>290</v>
      </c>
      <c r="B35" s="30">
        <f>B154</f>
        <v>213300.80323816673</v>
      </c>
      <c r="C35" s="18" t="s">
        <v>80</v>
      </c>
    </row>
    <row r="36" spans="1:3" ht="18" customHeight="1" x14ac:dyDescent="0.3">
      <c r="A36" s="16" t="s">
        <v>212</v>
      </c>
      <c r="B36" s="17">
        <f>B156</f>
        <v>918.30129037517759</v>
      </c>
      <c r="C36" s="18" t="s">
        <v>39</v>
      </c>
    </row>
    <row r="37" spans="1:3" ht="18" customHeight="1" x14ac:dyDescent="0.3">
      <c r="A37" s="19" t="s">
        <v>62</v>
      </c>
      <c r="B37" s="20">
        <f>IFERROR((B36-B6)/B6,"")</f>
        <v>-0.61737446234367599</v>
      </c>
      <c r="C37" s="21" t="s">
        <v>47</v>
      </c>
    </row>
    <row r="38" spans="1:3" ht="7.5" customHeight="1" x14ac:dyDescent="0.3"/>
    <row r="39" spans="1:3" ht="19.5" customHeight="1" x14ac:dyDescent="0.3">
      <c r="A39" s="200" t="s">
        <v>71</v>
      </c>
      <c r="B39" s="200"/>
      <c r="C39" s="200"/>
    </row>
    <row r="40" spans="1:3" ht="19.5" customHeight="1" x14ac:dyDescent="0.3">
      <c r="A40" s="23" t="s">
        <v>38</v>
      </c>
      <c r="B40" s="24">
        <f>B6</f>
        <v>2400</v>
      </c>
      <c r="C40" s="25" t="s">
        <v>39</v>
      </c>
    </row>
    <row r="41" spans="1:3" ht="19.5" customHeight="1" x14ac:dyDescent="0.3">
      <c r="A41" s="23" t="s">
        <v>182</v>
      </c>
      <c r="B41" s="24">
        <f>IFERROR(B27,"")</f>
        <v>2310</v>
      </c>
      <c r="C41" s="25" t="s">
        <v>39</v>
      </c>
    </row>
    <row r="42" spans="1:3" ht="19.5" customHeight="1" x14ac:dyDescent="0.3">
      <c r="A42" s="23" t="s">
        <v>183</v>
      </c>
      <c r="B42" s="24">
        <f>IFERROR(B31,"")</f>
        <v>2393.6170212765956</v>
      </c>
      <c r="C42" s="25" t="s">
        <v>39</v>
      </c>
    </row>
    <row r="43" spans="1:3" ht="19.5" customHeight="1" x14ac:dyDescent="0.3">
      <c r="A43" s="23" t="s">
        <v>181</v>
      </c>
      <c r="B43" s="24">
        <f>IFERROR(B156,"")</f>
        <v>918.30129037517759</v>
      </c>
      <c r="C43" s="25" t="s">
        <v>39</v>
      </c>
    </row>
    <row r="44" spans="1:3" ht="19.5" customHeight="1" x14ac:dyDescent="0.3">
      <c r="A44" s="139" t="s">
        <v>76</v>
      </c>
      <c r="B44" s="99">
        <f>IFERROR(AVERAGE(B41:B43),"")</f>
        <v>1873.9727705505911</v>
      </c>
      <c r="C44" s="28" t="s">
        <v>39</v>
      </c>
    </row>
    <row r="45" spans="1:3" ht="19.5" customHeight="1" x14ac:dyDescent="0.3">
      <c r="A45" s="139" t="s">
        <v>77</v>
      </c>
      <c r="B45" s="107">
        <f>IFERROR((B44-B6)/B6,"")</f>
        <v>-0.21917801227058703</v>
      </c>
      <c r="C45" s="28" t="s">
        <v>47</v>
      </c>
    </row>
    <row r="46" spans="1:3" ht="7.5" customHeight="1" x14ac:dyDescent="0.3"/>
    <row r="47" spans="1:3" ht="19.5" customHeight="1" x14ac:dyDescent="0.3">
      <c r="A47" s="199" t="s">
        <v>78</v>
      </c>
      <c r="B47" s="199"/>
      <c r="C47" s="199"/>
    </row>
    <row r="48" spans="1:3" ht="18" customHeight="1" x14ac:dyDescent="0.3">
      <c r="A48" s="16" t="s">
        <v>79</v>
      </c>
      <c r="B48" s="30">
        <f>IFERROR(B6*B7,"")</f>
        <v>564000</v>
      </c>
      <c r="C48" s="18" t="s">
        <v>80</v>
      </c>
    </row>
    <row r="49" spans="1:3" ht="18" customHeight="1" x14ac:dyDescent="0.3">
      <c r="A49" s="16" t="s">
        <v>214</v>
      </c>
      <c r="B49" s="22">
        <f>IFERROR(B6/B8,"")</f>
        <v>57.142857142857146</v>
      </c>
      <c r="C49" s="18" t="s">
        <v>60</v>
      </c>
    </row>
    <row r="50" spans="1:3" ht="18" customHeight="1" x14ac:dyDescent="0.3">
      <c r="A50" s="16" t="s">
        <v>184</v>
      </c>
      <c r="B50" s="22">
        <f>IFERROR((B6*B7+B10-B11)/B15,"")</f>
        <v>40.107142857142854</v>
      </c>
      <c r="C50" s="18" t="s">
        <v>60</v>
      </c>
    </row>
    <row r="51" spans="1:3" ht="18" customHeight="1" x14ac:dyDescent="0.3">
      <c r="A51" s="16" t="s">
        <v>291</v>
      </c>
      <c r="B51" s="31">
        <f>IFERROR(B9/B6,"")</f>
        <v>0.01</v>
      </c>
      <c r="C51" s="18" t="s">
        <v>47</v>
      </c>
    </row>
    <row r="52" spans="1:3" ht="18" customHeight="1" x14ac:dyDescent="0.3">
      <c r="A52" s="16" t="s">
        <v>200</v>
      </c>
      <c r="B52" s="31">
        <f>B16</f>
        <v>0.23</v>
      </c>
      <c r="C52" s="18" t="s">
        <v>47</v>
      </c>
    </row>
    <row r="54" spans="1:3" ht="33.75" customHeight="1" x14ac:dyDescent="0.3">
      <c r="A54" s="203" t="s">
        <v>84</v>
      </c>
      <c r="B54" s="203"/>
      <c r="C54" s="203"/>
    </row>
    <row r="55" spans="1:3" ht="24" customHeight="1" x14ac:dyDescent="0.3">
      <c r="A55" s="204" t="s">
        <v>85</v>
      </c>
      <c r="B55" s="204"/>
      <c r="C55" s="204"/>
    </row>
    <row r="56" spans="1:3" ht="7.5" customHeight="1" x14ac:dyDescent="0.3"/>
    <row r="57" spans="1:3" ht="19.5" customHeight="1" x14ac:dyDescent="0.3">
      <c r="A57" s="199" t="s">
        <v>86</v>
      </c>
      <c r="B57" s="199"/>
      <c r="C57" s="199"/>
    </row>
    <row r="58" spans="1:3" ht="18" customHeight="1" x14ac:dyDescent="0.3">
      <c r="A58" s="11" t="s">
        <v>38</v>
      </c>
      <c r="B58" s="32">
        <f>B6</f>
        <v>2400</v>
      </c>
      <c r="C58" s="33" t="s">
        <v>39</v>
      </c>
    </row>
    <row r="59" spans="1:3" ht="18" customHeight="1" x14ac:dyDescent="0.3">
      <c r="A59" s="11" t="s">
        <v>76</v>
      </c>
      <c r="B59" s="32">
        <f>B44</f>
        <v>1873.9727705505911</v>
      </c>
      <c r="C59" s="33" t="s">
        <v>39</v>
      </c>
    </row>
    <row r="60" spans="1:3" ht="19.5" customHeight="1" x14ac:dyDescent="0.3">
      <c r="A60" s="34" t="s">
        <v>87</v>
      </c>
      <c r="B60" s="35">
        <f>B45</f>
        <v>-0.21917801227058703</v>
      </c>
      <c r="C60" s="36" t="s">
        <v>47</v>
      </c>
    </row>
    <row r="61" spans="1:3" ht="7.5" customHeight="1" x14ac:dyDescent="0.3"/>
    <row r="62" spans="1:3" ht="19.5" customHeight="1" x14ac:dyDescent="0.3">
      <c r="A62" s="199" t="s">
        <v>88</v>
      </c>
      <c r="B62" s="199"/>
      <c r="C62" s="199"/>
    </row>
    <row r="63" spans="1:3" ht="21.75" customHeight="1" x14ac:dyDescent="0.3">
      <c r="A63" s="11" t="s">
        <v>292</v>
      </c>
      <c r="B63" s="37" t="str">
        <f>IF(B28="","— Enter Data —",IF(B28&gt;0.2,"STRONG BUY",IF(B28&gt;0.1,"BUY",IF(B28&gt;=-0.1,"HOLD",IF(B28&gt;=-0.2,"SELL","STRONG SELL")))))</f>
        <v>HOLD</v>
      </c>
      <c r="C63" s="38"/>
    </row>
    <row r="64" spans="1:3" ht="21.75" customHeight="1" x14ac:dyDescent="0.3">
      <c r="A64" s="11" t="s">
        <v>293</v>
      </c>
      <c r="B64" s="37" t="str">
        <f>IF(B32="","— Enter Data —",IF(B32&gt;0.2,"STRONG BUY",IF(B32&gt;0.1,"BUY",IF(B32&gt;=-0.1,"HOLD",IF(B32&gt;=-0.2,"SELL","STRONG SELL")))))</f>
        <v>HOLD</v>
      </c>
      <c r="C64" s="38"/>
    </row>
    <row r="65" spans="1:3" ht="21.75" customHeight="1" x14ac:dyDescent="0.3">
      <c r="A65" s="11" t="s">
        <v>217</v>
      </c>
      <c r="B65" s="37" t="str">
        <f>IF(B157="","— Enter Data —",IF(B157&gt;0.2,"STRONG BUY",IF(B157&gt;0.1,"BUY",IF(B157&gt;=-0.1,"HOLD",IF(B157&gt;=-0.2,"SELL","STRONG SELL")))))</f>
        <v>STRONG SELL</v>
      </c>
      <c r="C65" s="38"/>
    </row>
    <row r="66" spans="1:3" ht="7.5" customHeight="1" x14ac:dyDescent="0.3"/>
    <row r="67" spans="1:3" ht="19.5" customHeight="1" x14ac:dyDescent="0.3">
      <c r="A67" s="199" t="s">
        <v>93</v>
      </c>
      <c r="B67" s="199"/>
      <c r="C67" s="199"/>
    </row>
    <row r="68" spans="1:3" ht="18" customHeight="1" x14ac:dyDescent="0.3">
      <c r="A68" s="11" t="s">
        <v>94</v>
      </c>
      <c r="B68" s="39">
        <f>COUNTIF(B63,"*BUY*")+COUNTIF(B64,"*BUY*")+COUNTIF(B65,"*BUY*")</f>
        <v>0</v>
      </c>
      <c r="C68" s="33" t="s">
        <v>190</v>
      </c>
    </row>
    <row r="69" spans="1:3" ht="18" customHeight="1" x14ac:dyDescent="0.3">
      <c r="A69" s="11" t="s">
        <v>96</v>
      </c>
      <c r="B69" s="40">
        <f>COUNTIF(B63,"HOLD")+COUNTIF(B64,"HOLD")+COUNTIF(B65,"HOLD")</f>
        <v>2</v>
      </c>
      <c r="C69" s="33" t="s">
        <v>190</v>
      </c>
    </row>
    <row r="70" spans="1:3" ht="18" customHeight="1" x14ac:dyDescent="0.3">
      <c r="A70" s="11" t="s">
        <v>97</v>
      </c>
      <c r="B70" s="41">
        <f>COUNTIF(B63,"*SELL*")+COUNTIF(B64,"*SELL*")+COUNTIF(B65,"*SELL*")</f>
        <v>1</v>
      </c>
      <c r="C70" s="33" t="s">
        <v>190</v>
      </c>
    </row>
    <row r="71" spans="1:3" ht="9.75" customHeight="1" x14ac:dyDescent="0.3"/>
    <row r="72" spans="1:3" ht="19.5" customHeight="1" x14ac:dyDescent="0.3">
      <c r="A72" s="200" t="s">
        <v>98</v>
      </c>
      <c r="B72" s="200"/>
      <c r="C72" s="200"/>
    </row>
    <row r="73" spans="1:3" ht="37.5" customHeight="1" x14ac:dyDescent="0.3">
      <c r="A73" s="42" t="s">
        <v>99</v>
      </c>
      <c r="B73" s="43" t="str">
        <f>IF(B45="","— Enter Data —",IF(B45&gt;0.2,"STRONG BUY",IF(B45&gt;0.1,"BUY",IF(B45&gt;=-0.1,"HOLD",IF(B45&gt;=-0.2,"SELL","STRONG SELL")))))</f>
        <v>STRONG SELL</v>
      </c>
      <c r="C73" s="11"/>
    </row>
    <row r="74" spans="1:3" ht="18" customHeight="1" x14ac:dyDescent="0.3">
      <c r="A74" s="44" t="s">
        <v>100</v>
      </c>
      <c r="B74" s="45">
        <f>B45</f>
        <v>-0.21917801227058703</v>
      </c>
      <c r="C74" s="33" t="s">
        <v>101</v>
      </c>
    </row>
    <row r="75" spans="1:3" ht="6" customHeight="1" x14ac:dyDescent="0.3"/>
    <row r="76" spans="1:3" ht="36" customHeight="1" x14ac:dyDescent="0.3">
      <c r="A76" s="201" t="s">
        <v>102</v>
      </c>
      <c r="B76" s="201"/>
      <c r="C76" s="201"/>
    </row>
    <row r="79" spans="1:3" ht="33.75" customHeight="1" x14ac:dyDescent="0.3">
      <c r="A79" s="202" t="s">
        <v>103</v>
      </c>
      <c r="B79" s="202"/>
      <c r="C79" s="202"/>
    </row>
    <row r="80" spans="1:3" ht="25.5" customHeight="1" x14ac:dyDescent="0.3">
      <c r="A80" s="198" t="s">
        <v>104</v>
      </c>
      <c r="B80" s="198"/>
      <c r="C80" s="198"/>
    </row>
    <row r="81" spans="1:3" ht="7.5" customHeight="1" x14ac:dyDescent="0.3"/>
    <row r="82" spans="1:3" ht="19.5" customHeight="1" x14ac:dyDescent="0.3">
      <c r="A82" s="196" t="s">
        <v>105</v>
      </c>
      <c r="B82" s="196"/>
      <c r="C82" s="196"/>
    </row>
    <row r="83" spans="1:3" ht="19.5" customHeight="1" x14ac:dyDescent="0.3">
      <c r="A83" s="11" t="s">
        <v>106</v>
      </c>
      <c r="B83" s="178">
        <v>0.15</v>
      </c>
      <c r="C83" s="33" t="s">
        <v>107</v>
      </c>
    </row>
    <row r="84" spans="1:3" ht="19.5" customHeight="1" x14ac:dyDescent="0.3">
      <c r="A84" s="11" t="s">
        <v>108</v>
      </c>
      <c r="B84" s="178">
        <v>0.1</v>
      </c>
      <c r="C84" s="33" t="s">
        <v>109</v>
      </c>
    </row>
    <row r="85" spans="1:3" ht="7.5" customHeight="1" x14ac:dyDescent="0.3"/>
    <row r="86" spans="1:3" ht="19.5" customHeight="1" x14ac:dyDescent="0.3">
      <c r="A86" s="197" t="s">
        <v>110</v>
      </c>
      <c r="B86" s="197"/>
      <c r="C86" s="197"/>
    </row>
    <row r="87" spans="1:3" ht="18" customHeight="1" x14ac:dyDescent="0.3">
      <c r="A87" s="46" t="s">
        <v>111</v>
      </c>
      <c r="B87" s="46" t="s">
        <v>112</v>
      </c>
      <c r="C87" s="46" t="s">
        <v>113</v>
      </c>
    </row>
    <row r="88" spans="1:3" ht="25.5" customHeight="1" x14ac:dyDescent="0.3">
      <c r="A88" s="47" t="s">
        <v>114</v>
      </c>
      <c r="B88" s="110">
        <f>IFERROR(B44*(1-B83*1.5),"")</f>
        <v>1452.3288971767081</v>
      </c>
      <c r="C88" s="49" t="str">
        <f>IF(OR(B6="",B88=""),"—",IF(ABS(B6-B88)/B88&lt;0.005,"  ◆  CMP IS HERE",IF(B6&lt;B88,"  ✅  BELOW — ENTRY OPEN","  ⬆  ABOVE — NOT YET")))</f>
        <v xml:space="preserve">  ⬆  ABOVE — NOT YET</v>
      </c>
    </row>
    <row r="89" spans="1:3" ht="25.5" customHeight="1" x14ac:dyDescent="0.3">
      <c r="A89" s="50" t="s">
        <v>115</v>
      </c>
      <c r="B89" s="114">
        <f>IFERROR(B44*(1-B83),"")</f>
        <v>1592.8768549680024</v>
      </c>
      <c r="C89" s="52" t="str">
        <f>IF(OR(B6="",B89=""),"—",IF(ABS(B6-B89)/B89&lt;0.005,"  ◆  CMP IS HERE",IF(B6&lt;B89,"  ✅  BELOW — ENTRY OPEN","  ⬆  ABOVE — NOT YET")))</f>
        <v xml:space="preserve">  ⬆  ABOVE — NOT YET</v>
      </c>
    </row>
    <row r="90" spans="1:3" ht="25.5" customHeight="1" x14ac:dyDescent="0.3">
      <c r="A90" s="53" t="s">
        <v>116</v>
      </c>
      <c r="B90" s="118">
        <f>IFERROR(B44*(1-B83*0.5),"")</f>
        <v>1733.4248127592969</v>
      </c>
      <c r="C90" s="55" t="str">
        <f>IF(OR(B6="",B90=""),"—",IF(ABS(B6-B90)/B90&lt;0.005,"  ◆  CMP IS HERE",IF(B6&lt;B90,"  ✅  BELOW — ENTRY OPEN","  ⬆  ABOVE — NOT YET")))</f>
        <v xml:space="preserve">  ⬆  ABOVE — NOT YET</v>
      </c>
    </row>
    <row r="91" spans="1:3" ht="25.5" customHeight="1" x14ac:dyDescent="0.3">
      <c r="A91" s="56" t="s">
        <v>117</v>
      </c>
      <c r="B91" s="122">
        <f>B44</f>
        <v>1873.9727705505911</v>
      </c>
      <c r="C91" s="58" t="str">
        <f>IF(OR(B6="",B91=""),"—",IF(ABS(B6-B91)/B91&lt;0.005,"  ◆  CMP IS HERE",IF(B6&lt;B91,"  ✅  BELOW — ENTRY OPEN","  ⬆  ABOVE — NOT YET")))</f>
        <v xml:space="preserve">  ⬆  ABOVE — NOT YET</v>
      </c>
    </row>
    <row r="92" spans="1:3" ht="25.5" customHeight="1" x14ac:dyDescent="0.3">
      <c r="A92" s="59" t="s">
        <v>118</v>
      </c>
      <c r="B92" s="126">
        <f>IFERROR(B44*1.15,"")</f>
        <v>2155.0686861331797</v>
      </c>
      <c r="C92" s="61" t="str">
        <f>IF(OR(B6="",B92=""),"—",IF(ABS(B6-B92)/B92&lt;0.005,"  ◆  CMP IS HERE",IF(B6&lt;B92,"  ✅  BELOW — ENTRY OPEN","  ⬆  ABOVE — NOT YET")))</f>
        <v xml:space="preserve">  ⬆  ABOVE — NOT YET</v>
      </c>
    </row>
    <row r="93" spans="1:3" ht="25.5" customHeight="1" x14ac:dyDescent="0.3">
      <c r="A93" s="62" t="s">
        <v>119</v>
      </c>
      <c r="B93" s="130">
        <f>IFERROR(B44*1.25,"")</f>
        <v>2342.4659631882387</v>
      </c>
      <c r="C93" s="64" t="str">
        <f>IF(OR(B6="",B93=""),"—",IF(ABS(B6-B93)/B93&lt;0.005,"  ◆  CMP IS HERE",IF(B6&lt;B93,"  ✅  BELOW — ENTRY OPEN","  ⬆  ABOVE — NOT YET")))</f>
        <v xml:space="preserve">  ⬆  ABOVE — NOT YET</v>
      </c>
    </row>
    <row r="94" spans="1:3" ht="25.5" customHeight="1" x14ac:dyDescent="0.3">
      <c r="A94" s="65" t="s">
        <v>120</v>
      </c>
      <c r="B94" s="134">
        <f>IFERROR(B88*(1-B84),"")</f>
        <v>1307.0960074590373</v>
      </c>
      <c r="C94" s="67" t="str">
        <f>IF(OR(B6="",B94=""),"—",IF(ABS(B6-B94)/B94&lt;0.005,"  ◆  CMP IS HERE",IF(B6&lt;B94,"  ✅  BELOW — ENTRY OPEN","  ⬆  ABOVE — NOT YET")))</f>
        <v xml:space="preserve">  ⬆  ABOVE — NOT YET</v>
      </c>
    </row>
    <row r="95" spans="1:3" ht="25.5" customHeight="1" x14ac:dyDescent="0.3">
      <c r="A95" s="184"/>
      <c r="B95" s="187"/>
      <c r="C95" s="186"/>
    </row>
    <row r="96" spans="1:3" ht="46.2" customHeight="1" x14ac:dyDescent="0.3">
      <c r="A96" s="198" t="s">
        <v>350</v>
      </c>
      <c r="B96" s="198"/>
      <c r="C96" s="198"/>
    </row>
    <row r="97" spans="1:3" ht="7.5" customHeight="1" x14ac:dyDescent="0.3"/>
    <row r="98" spans="1:3" ht="19.5" customHeight="1" x14ac:dyDescent="0.3">
      <c r="A98" s="196" t="s">
        <v>121</v>
      </c>
      <c r="B98" s="196"/>
      <c r="C98" s="196"/>
    </row>
    <row r="99" spans="1:3" ht="19.5" customHeight="1" x14ac:dyDescent="0.3">
      <c r="A99" s="11" t="s">
        <v>122</v>
      </c>
      <c r="B99" s="68">
        <f>B6</f>
        <v>2400</v>
      </c>
      <c r="C99" s="33" t="s">
        <v>39</v>
      </c>
    </row>
    <row r="100" spans="1:3" ht="27.75" customHeight="1" x14ac:dyDescent="0.3">
      <c r="A100" s="69" t="s">
        <v>123</v>
      </c>
      <c r="B100" s="70" t="str">
        <f>IF(OR(B6="",B44=""),"Enter data above",IF(B6&lt;=B44*(1-B88*1.5),"** STRONG BUY ** Excellent Entry",IF(B6&lt;=B44*(1-B88),"BUY - Good Entry",IF(B6&lt;=B44*(1-B88*0.5),"ACCUMULATE - Reasonable Entry",IF(B6&lt;=B44,"Near Fair Value - Cautious",IF(B6&lt;=B44*1.15,"Above Fair Value - Consider Trimming",IF(B6&lt;=B44*1.25,"EXPENSIVE - Consider Exiting","OVERVALUED - Exit Now")))))))</f>
        <v>OVERVALUED - Exit Now</v>
      </c>
      <c r="C100" s="71"/>
    </row>
    <row r="101" spans="1:3" ht="7.5" customHeight="1" x14ac:dyDescent="0.3"/>
    <row r="102" spans="1:3" ht="19.5" customHeight="1" x14ac:dyDescent="0.3">
      <c r="A102" s="197" t="s">
        <v>124</v>
      </c>
      <c r="B102" s="197"/>
      <c r="C102" s="197"/>
    </row>
    <row r="103" spans="1:3" ht="19.5" customHeight="1" x14ac:dyDescent="0.3">
      <c r="A103" s="72" t="s">
        <v>125</v>
      </c>
      <c r="B103" s="73" t="s">
        <v>126</v>
      </c>
      <c r="C103" s="74"/>
    </row>
    <row r="104" spans="1:3" ht="19.5" customHeight="1" x14ac:dyDescent="0.3">
      <c r="A104" s="75" t="s">
        <v>127</v>
      </c>
      <c r="B104" s="76" t="s">
        <v>128</v>
      </c>
      <c r="C104" s="76"/>
    </row>
    <row r="105" spans="1:3" ht="19.5" customHeight="1" x14ac:dyDescent="0.3">
      <c r="A105" s="77" t="s">
        <v>129</v>
      </c>
      <c r="B105" s="78" t="s">
        <v>130</v>
      </c>
      <c r="C105" s="78"/>
    </row>
    <row r="106" spans="1:3" ht="19.5" customHeight="1" x14ac:dyDescent="0.3">
      <c r="A106" s="79" t="s">
        <v>131</v>
      </c>
      <c r="B106" s="80" t="s">
        <v>132</v>
      </c>
      <c r="C106" s="80"/>
    </row>
    <row r="107" spans="1:3" ht="19.5" customHeight="1" x14ac:dyDescent="0.3">
      <c r="A107" s="81" t="s">
        <v>133</v>
      </c>
      <c r="B107" s="82" t="s">
        <v>134</v>
      </c>
      <c r="C107" s="82"/>
    </row>
    <row r="108" spans="1:3" ht="19.5" customHeight="1" x14ac:dyDescent="0.3">
      <c r="A108" s="83" t="s">
        <v>135</v>
      </c>
      <c r="B108" s="84" t="s">
        <v>136</v>
      </c>
      <c r="C108" s="84"/>
    </row>
    <row r="109" spans="1:3" ht="19.5" customHeight="1" x14ac:dyDescent="0.3">
      <c r="A109" s="85" t="s">
        <v>137</v>
      </c>
      <c r="B109" s="86" t="s">
        <v>138</v>
      </c>
      <c r="C109" s="87"/>
    </row>
    <row r="110" spans="1:3" ht="7.5" customHeight="1" x14ac:dyDescent="0.3"/>
    <row r="111" spans="1:3" ht="43.5" customHeight="1" x14ac:dyDescent="0.3">
      <c r="A111" s="198" t="s">
        <v>139</v>
      </c>
      <c r="B111" s="198"/>
      <c r="C111" s="198"/>
    </row>
    <row r="114" spans="1:8" ht="36" customHeight="1" x14ac:dyDescent="0.3">
      <c r="A114" s="222" t="s">
        <v>294</v>
      </c>
      <c r="B114" s="222"/>
      <c r="C114" s="222"/>
      <c r="D114" s="222"/>
      <c r="E114" s="222"/>
      <c r="F114" s="222"/>
      <c r="G114" s="222"/>
      <c r="H114" s="222"/>
    </row>
    <row r="115" spans="1:8" ht="30" customHeight="1" x14ac:dyDescent="0.3">
      <c r="A115" s="198" t="s">
        <v>351</v>
      </c>
      <c r="B115" s="198"/>
      <c r="C115" s="198"/>
      <c r="D115" s="198"/>
      <c r="E115" s="198"/>
      <c r="F115" s="198"/>
      <c r="G115" s="198"/>
      <c r="H115" s="198"/>
    </row>
    <row r="116" spans="1:8" ht="9.75" customHeight="1" x14ac:dyDescent="0.3"/>
    <row r="117" spans="1:8" ht="21.75" customHeight="1" x14ac:dyDescent="0.3">
      <c r="A117" s="220" t="s">
        <v>220</v>
      </c>
      <c r="B117" s="220"/>
      <c r="C117" s="220"/>
      <c r="D117" s="220"/>
      <c r="E117" s="220"/>
      <c r="F117" s="220"/>
      <c r="G117" s="220"/>
      <c r="H117" s="220"/>
    </row>
    <row r="118" spans="1:8" ht="19.5" customHeight="1" x14ac:dyDescent="0.3">
      <c r="A118" s="11" t="s">
        <v>221</v>
      </c>
      <c r="B118" s="140">
        <f>B21</f>
        <v>0.1</v>
      </c>
      <c r="C118" s="33" t="s">
        <v>47</v>
      </c>
      <c r="D118" s="109"/>
      <c r="E118" s="109"/>
      <c r="F118" s="109"/>
      <c r="G118" s="109"/>
      <c r="H118" s="109"/>
    </row>
    <row r="119" spans="1:8" ht="19.5" customHeight="1" x14ac:dyDescent="0.3">
      <c r="A119" s="11" t="s">
        <v>222</v>
      </c>
      <c r="B119" s="178">
        <v>0.11</v>
      </c>
      <c r="C119" s="33" t="s">
        <v>47</v>
      </c>
      <c r="D119" s="109"/>
      <c r="E119" s="109"/>
      <c r="F119" s="109"/>
      <c r="G119" s="109"/>
      <c r="H119" s="109"/>
    </row>
    <row r="120" spans="1:8" ht="19.5" customHeight="1" x14ac:dyDescent="0.3">
      <c r="A120" s="11" t="s">
        <v>223</v>
      </c>
      <c r="B120" s="178">
        <v>0.08</v>
      </c>
      <c r="C120" s="33" t="s">
        <v>47</v>
      </c>
      <c r="D120" s="109"/>
      <c r="E120" s="109"/>
      <c r="F120" s="109"/>
      <c r="G120" s="109"/>
      <c r="H120" s="109"/>
    </row>
    <row r="121" spans="1:8" ht="19.5" customHeight="1" x14ac:dyDescent="0.3">
      <c r="A121" s="11" t="s">
        <v>224</v>
      </c>
      <c r="B121" s="140">
        <f>B24</f>
        <v>0.05</v>
      </c>
      <c r="C121" s="33" t="s">
        <v>47</v>
      </c>
      <c r="D121" s="109"/>
      <c r="E121" s="109"/>
      <c r="F121" s="109"/>
      <c r="G121" s="109"/>
      <c r="H121" s="109"/>
    </row>
    <row r="122" spans="1:8" ht="19.5" customHeight="1" x14ac:dyDescent="0.3">
      <c r="A122" s="11" t="s">
        <v>225</v>
      </c>
      <c r="B122" s="140">
        <f>B16</f>
        <v>0.23</v>
      </c>
      <c r="C122" s="33" t="s">
        <v>47</v>
      </c>
      <c r="D122" s="109"/>
      <c r="E122" s="109"/>
      <c r="F122" s="109"/>
      <c r="G122" s="109"/>
      <c r="H122" s="109"/>
    </row>
    <row r="123" spans="1:8" ht="19.5" customHeight="1" x14ac:dyDescent="0.3">
      <c r="A123" s="11" t="s">
        <v>153</v>
      </c>
      <c r="B123" s="178">
        <v>0.25</v>
      </c>
      <c r="C123" s="33" t="s">
        <v>47</v>
      </c>
      <c r="D123" s="109"/>
      <c r="E123" s="109"/>
      <c r="F123" s="109"/>
      <c r="G123" s="109"/>
      <c r="H123" s="109"/>
    </row>
    <row r="124" spans="1:8" ht="19.5" customHeight="1" x14ac:dyDescent="0.3">
      <c r="A124" s="11" t="s">
        <v>154</v>
      </c>
      <c r="B124" s="178">
        <v>0.02</v>
      </c>
      <c r="C124" s="33" t="s">
        <v>47</v>
      </c>
      <c r="D124" s="109"/>
      <c r="E124" s="109"/>
      <c r="F124" s="109"/>
      <c r="G124" s="109"/>
      <c r="H124" s="109"/>
    </row>
    <row r="125" spans="1:8" ht="19.5" customHeight="1" x14ac:dyDescent="0.3">
      <c r="A125" s="11" t="s">
        <v>226</v>
      </c>
      <c r="B125" s="178">
        <v>0.03</v>
      </c>
      <c r="C125" s="33" t="s">
        <v>47</v>
      </c>
      <c r="D125" s="109"/>
      <c r="E125" s="109"/>
      <c r="F125" s="109"/>
      <c r="G125" s="109"/>
      <c r="H125" s="109"/>
    </row>
    <row r="126" spans="1:8" ht="19.5" customHeight="1" x14ac:dyDescent="0.3">
      <c r="A126" s="11" t="s">
        <v>156</v>
      </c>
      <c r="B126" s="178">
        <v>0.01</v>
      </c>
      <c r="C126" s="33" t="s">
        <v>47</v>
      </c>
      <c r="D126" s="109"/>
      <c r="E126" s="109"/>
      <c r="F126" s="109"/>
      <c r="G126" s="109"/>
      <c r="H126" s="109"/>
    </row>
    <row r="127" spans="1:8" ht="7.5" customHeight="1" x14ac:dyDescent="0.3"/>
    <row r="128" spans="1:8" ht="21.75" customHeight="1" x14ac:dyDescent="0.3">
      <c r="A128" s="220" t="s">
        <v>227</v>
      </c>
      <c r="B128" s="220"/>
      <c r="C128" s="220"/>
      <c r="D128" s="220"/>
      <c r="E128" s="220"/>
      <c r="F128" s="220"/>
      <c r="G128" s="220"/>
      <c r="H128" s="220"/>
    </row>
    <row r="129" spans="1:8" ht="18" customHeight="1" x14ac:dyDescent="0.3">
      <c r="A129" s="11" t="s">
        <v>228</v>
      </c>
      <c r="B129" s="141">
        <f>B14</f>
        <v>60000</v>
      </c>
      <c r="C129" s="33" t="s">
        <v>80</v>
      </c>
      <c r="D129" s="109"/>
      <c r="E129" s="109"/>
      <c r="F129" s="109"/>
      <c r="G129" s="109"/>
      <c r="H129" s="109"/>
    </row>
    <row r="130" spans="1:8" ht="18" customHeight="1" x14ac:dyDescent="0.3">
      <c r="A130" s="11" t="s">
        <v>229</v>
      </c>
      <c r="B130" s="141">
        <f>B15</f>
        <v>14000</v>
      </c>
      <c r="C130" s="33" t="s">
        <v>80</v>
      </c>
      <c r="D130" s="109"/>
      <c r="E130" s="109"/>
      <c r="F130" s="109"/>
      <c r="G130" s="109"/>
      <c r="H130" s="109"/>
    </row>
    <row r="131" spans="1:8" ht="18" customHeight="1" x14ac:dyDescent="0.3">
      <c r="A131" s="11" t="s">
        <v>230</v>
      </c>
      <c r="B131" s="141">
        <f>B10</f>
        <v>2500</v>
      </c>
      <c r="C131" s="33" t="s">
        <v>80</v>
      </c>
      <c r="D131" s="109"/>
      <c r="E131" s="109"/>
      <c r="F131" s="109"/>
      <c r="G131" s="109"/>
      <c r="H131" s="109"/>
    </row>
    <row r="132" spans="1:8" ht="18" customHeight="1" x14ac:dyDescent="0.3">
      <c r="A132" s="11" t="s">
        <v>231</v>
      </c>
      <c r="B132" s="141">
        <f>B11</f>
        <v>5000</v>
      </c>
      <c r="C132" s="33" t="s">
        <v>80</v>
      </c>
      <c r="D132" s="109"/>
      <c r="E132" s="109"/>
      <c r="F132" s="109"/>
      <c r="G132" s="109"/>
      <c r="H132" s="109"/>
    </row>
    <row r="133" spans="1:8" ht="18" customHeight="1" x14ac:dyDescent="0.3">
      <c r="A133" s="11" t="s">
        <v>232</v>
      </c>
      <c r="B133" s="141">
        <f>B7</f>
        <v>235</v>
      </c>
      <c r="C133" s="33" t="s">
        <v>41</v>
      </c>
      <c r="D133" s="109"/>
      <c r="E133" s="109"/>
      <c r="F133" s="109"/>
      <c r="G133" s="109"/>
      <c r="H133" s="109"/>
    </row>
    <row r="134" spans="1:8" ht="18" customHeight="1" x14ac:dyDescent="0.3">
      <c r="A134" s="11" t="s">
        <v>122</v>
      </c>
      <c r="B134" s="141">
        <f>B6</f>
        <v>2400</v>
      </c>
      <c r="C134" s="33" t="s">
        <v>39</v>
      </c>
      <c r="D134" s="109"/>
      <c r="E134" s="109"/>
      <c r="F134" s="109"/>
      <c r="G134" s="109"/>
      <c r="H134" s="109"/>
    </row>
    <row r="135" spans="1:8" ht="9.75" customHeight="1" x14ac:dyDescent="0.3"/>
    <row r="136" spans="1:8" ht="21.75" customHeight="1" x14ac:dyDescent="0.3">
      <c r="A136" s="221" t="s">
        <v>233</v>
      </c>
      <c r="B136" s="221"/>
      <c r="C136" s="221"/>
      <c r="D136" s="221"/>
      <c r="E136" s="221"/>
      <c r="F136" s="221"/>
      <c r="G136" s="221"/>
      <c r="H136" s="221"/>
    </row>
    <row r="137" spans="1:8" ht="21.75" customHeight="1" x14ac:dyDescent="0.3">
      <c r="A137" s="1" t="s">
        <v>234</v>
      </c>
      <c r="B137" s="91" t="s">
        <v>158</v>
      </c>
      <c r="C137" s="91" t="s">
        <v>159</v>
      </c>
      <c r="D137" s="91" t="s">
        <v>160</v>
      </c>
      <c r="E137" s="91" t="s">
        <v>161</v>
      </c>
      <c r="F137" s="91" t="s">
        <v>162</v>
      </c>
      <c r="G137" s="91" t="s">
        <v>163</v>
      </c>
      <c r="H137" s="142" t="s">
        <v>164</v>
      </c>
    </row>
    <row r="138" spans="1:8" ht="19.5" customHeight="1" x14ac:dyDescent="0.3">
      <c r="A138" s="11" t="s">
        <v>235</v>
      </c>
      <c r="B138" s="143">
        <f>B14</f>
        <v>60000</v>
      </c>
      <c r="C138" s="144">
        <f>IFERROR(B138*(1+B119),"")</f>
        <v>66600</v>
      </c>
      <c r="D138" s="144">
        <f>IFERROR(C138*(1+B119),"")</f>
        <v>73926</v>
      </c>
      <c r="E138" s="144">
        <f>IFERROR(D138*(1+B119),"")</f>
        <v>82057.86</v>
      </c>
      <c r="F138" s="144">
        <f>IFERROR(E138*(1+B120),"")</f>
        <v>88622.488800000006</v>
      </c>
      <c r="G138" s="144">
        <f>IFERROR(F138*(1+B120),"")</f>
        <v>95712.287904000012</v>
      </c>
      <c r="H138" s="145"/>
    </row>
    <row r="139" spans="1:8" ht="19.5" customHeight="1" x14ac:dyDescent="0.3">
      <c r="A139" s="11" t="s">
        <v>236</v>
      </c>
      <c r="B139" s="143">
        <f>B15</f>
        <v>14000</v>
      </c>
      <c r="C139" s="144">
        <f>IFERROR(C138*B122,"")</f>
        <v>15318</v>
      </c>
      <c r="D139" s="144">
        <f>IFERROR(D138*B122,"")</f>
        <v>17002.98</v>
      </c>
      <c r="E139" s="144">
        <f>IFERROR(E138*B122,"")</f>
        <v>18873.307800000002</v>
      </c>
      <c r="F139" s="144">
        <f>IFERROR(F138*B122,"")</f>
        <v>20383.172424000004</v>
      </c>
      <c r="G139" s="144">
        <f>IFERROR(G138*B122,"")</f>
        <v>22013.826217920003</v>
      </c>
      <c r="H139" s="145"/>
    </row>
    <row r="140" spans="1:8" ht="18" customHeight="1" x14ac:dyDescent="0.3">
      <c r="A140" s="33" t="s">
        <v>237</v>
      </c>
      <c r="B140" s="146">
        <f t="shared" ref="B140:G140" si="0">IFERROR(B139/B138,"")</f>
        <v>0.23333333333333334</v>
      </c>
      <c r="C140" s="146">
        <f t="shared" si="0"/>
        <v>0.23</v>
      </c>
      <c r="D140" s="146">
        <f t="shared" si="0"/>
        <v>0.22999999999999998</v>
      </c>
      <c r="E140" s="146">
        <f t="shared" si="0"/>
        <v>0.23000000000000004</v>
      </c>
      <c r="F140" s="146">
        <f t="shared" si="0"/>
        <v>0.23000000000000004</v>
      </c>
      <c r="G140" s="146">
        <f t="shared" si="0"/>
        <v>0.23</v>
      </c>
      <c r="H140" s="146"/>
    </row>
    <row r="141" spans="1:8" ht="19.5" customHeight="1" x14ac:dyDescent="0.3">
      <c r="A141" s="11" t="s">
        <v>238</v>
      </c>
      <c r="B141" s="144">
        <f>IFERROR(B138*B124,"")</f>
        <v>1200</v>
      </c>
      <c r="C141" s="144">
        <f>IFERROR(C138*B124,"")</f>
        <v>1332</v>
      </c>
      <c r="D141" s="144">
        <f>IFERROR(D138*B124,"")</f>
        <v>1478.52</v>
      </c>
      <c r="E141" s="144">
        <f>IFERROR(E138*B124,"")</f>
        <v>1641.1572000000001</v>
      </c>
      <c r="F141" s="144">
        <f>IFERROR(F138*B124,"")</f>
        <v>1772.4497760000002</v>
      </c>
      <c r="G141" s="144">
        <f>IFERROR(G138*B124,"")</f>
        <v>1914.2457580800003</v>
      </c>
      <c r="H141" s="145"/>
    </row>
    <row r="142" spans="1:8" ht="19.5" customHeight="1" x14ac:dyDescent="0.3">
      <c r="A142" s="16" t="s">
        <v>239</v>
      </c>
      <c r="B142" s="30">
        <f t="shared" ref="B142:G142" si="1">IFERROR(B139-B141,"")</f>
        <v>12800</v>
      </c>
      <c r="C142" s="30">
        <f t="shared" si="1"/>
        <v>13986</v>
      </c>
      <c r="D142" s="30">
        <f t="shared" si="1"/>
        <v>15524.46</v>
      </c>
      <c r="E142" s="30">
        <f t="shared" si="1"/>
        <v>17232.150600000001</v>
      </c>
      <c r="F142" s="30">
        <f t="shared" si="1"/>
        <v>18610.722648000003</v>
      </c>
      <c r="G142" s="30">
        <f t="shared" si="1"/>
        <v>20099.580459840003</v>
      </c>
      <c r="H142" s="145"/>
    </row>
    <row r="143" spans="1:8" ht="19.5" customHeight="1" x14ac:dyDescent="0.3">
      <c r="A143" s="16" t="s">
        <v>240</v>
      </c>
      <c r="B143" s="30">
        <f>IFERROR(B142*B123,"")</f>
        <v>3200</v>
      </c>
      <c r="C143" s="30">
        <f>IFERROR(C142*B123,"")</f>
        <v>3496.5</v>
      </c>
      <c r="D143" s="30">
        <f>IFERROR(D142*B123,"")</f>
        <v>3881.1149999999998</v>
      </c>
      <c r="E143" s="30">
        <f>IFERROR(E142*B123,"")</f>
        <v>4308.0376500000002</v>
      </c>
      <c r="F143" s="30">
        <f>IFERROR(F142*B123,"")</f>
        <v>4652.6806620000007</v>
      </c>
      <c r="G143" s="30">
        <f>IFERROR(G142*B123,"")</f>
        <v>5024.8951149600007</v>
      </c>
      <c r="H143" s="145"/>
    </row>
    <row r="144" spans="1:8" ht="19.5" customHeight="1" x14ac:dyDescent="0.3">
      <c r="A144" s="34" t="s">
        <v>241</v>
      </c>
      <c r="B144" s="147">
        <f t="shared" ref="B144:G144" si="2">IFERROR(B142-B143,"")</f>
        <v>9600</v>
      </c>
      <c r="C144" s="147">
        <f t="shared" si="2"/>
        <v>10489.5</v>
      </c>
      <c r="D144" s="147">
        <f t="shared" si="2"/>
        <v>11643.344999999999</v>
      </c>
      <c r="E144" s="147">
        <f t="shared" si="2"/>
        <v>12924.112950000001</v>
      </c>
      <c r="F144" s="147">
        <f t="shared" si="2"/>
        <v>13958.041986000002</v>
      </c>
      <c r="G144" s="147">
        <f t="shared" si="2"/>
        <v>15074.685344880003</v>
      </c>
      <c r="H144" s="93"/>
    </row>
    <row r="145" spans="1:8" ht="19.5" customHeight="1" x14ac:dyDescent="0.3">
      <c r="A145" s="148" t="s">
        <v>242</v>
      </c>
      <c r="B145" s="145">
        <f>IFERROR(-B138*B125,"")</f>
        <v>-1800</v>
      </c>
      <c r="C145" s="145">
        <f>IFERROR(-C138*B125,"")</f>
        <v>-1998</v>
      </c>
      <c r="D145" s="145">
        <f>IFERROR(-D138*B125,"")</f>
        <v>-2217.7799999999997</v>
      </c>
      <c r="E145" s="145">
        <f>IFERROR(-E138*B125,"")</f>
        <v>-2461.7357999999999</v>
      </c>
      <c r="F145" s="145">
        <f>IFERROR(-F138*B125,"")</f>
        <v>-2658.6746640000001</v>
      </c>
      <c r="G145" s="145">
        <f>IFERROR(-G138*B125,"")</f>
        <v>-2871.3686371200001</v>
      </c>
      <c r="H145" s="145"/>
    </row>
    <row r="146" spans="1:8" ht="19.5" customHeight="1" x14ac:dyDescent="0.3">
      <c r="A146" s="148" t="s">
        <v>243</v>
      </c>
      <c r="B146" s="145">
        <f>IFERROR(-B138*B126,"")</f>
        <v>-600</v>
      </c>
      <c r="C146" s="145">
        <f>IFERROR(-C138*B126,"")</f>
        <v>-666</v>
      </c>
      <c r="D146" s="145">
        <f>IFERROR(-D138*B126,"")</f>
        <v>-739.26</v>
      </c>
      <c r="E146" s="145">
        <f>IFERROR(-E138*B126,"")</f>
        <v>-820.57860000000005</v>
      </c>
      <c r="F146" s="145">
        <f>IFERROR(-F138*B126,"")</f>
        <v>-886.22488800000008</v>
      </c>
      <c r="G146" s="145">
        <f>IFERROR(-G138*B126,"")</f>
        <v>-957.12287904000016</v>
      </c>
      <c r="H146" s="145"/>
    </row>
    <row r="147" spans="1:8" ht="19.5" customHeight="1" x14ac:dyDescent="0.3">
      <c r="A147" s="148" t="s">
        <v>244</v>
      </c>
      <c r="B147" s="145">
        <f t="shared" ref="B147:G147" si="3">IFERROR(B141,"")</f>
        <v>1200</v>
      </c>
      <c r="C147" s="145">
        <f t="shared" si="3"/>
        <v>1332</v>
      </c>
      <c r="D147" s="145">
        <f t="shared" si="3"/>
        <v>1478.52</v>
      </c>
      <c r="E147" s="145">
        <f t="shared" si="3"/>
        <v>1641.1572000000001</v>
      </c>
      <c r="F147" s="145">
        <f t="shared" si="3"/>
        <v>1772.4497760000002</v>
      </c>
      <c r="G147" s="145">
        <f t="shared" si="3"/>
        <v>1914.2457580800003</v>
      </c>
      <c r="H147" s="145"/>
    </row>
    <row r="148" spans="1:8" ht="24" customHeight="1" x14ac:dyDescent="0.3">
      <c r="A148" s="23" t="s">
        <v>245</v>
      </c>
      <c r="B148" s="149"/>
      <c r="C148" s="95">
        <f t="shared" ref="C148:G148" si="4">IFERROR(C144+C147+C145+C146,"")</f>
        <v>9157.5</v>
      </c>
      <c r="D148" s="95">
        <f t="shared" si="4"/>
        <v>10164.824999999999</v>
      </c>
      <c r="E148" s="95">
        <f t="shared" si="4"/>
        <v>11282.955749999999</v>
      </c>
      <c r="F148" s="95">
        <f t="shared" si="4"/>
        <v>12185.592210000001</v>
      </c>
      <c r="G148" s="95">
        <f t="shared" si="4"/>
        <v>13160.439586800003</v>
      </c>
      <c r="H148" s="93"/>
    </row>
    <row r="149" spans="1:8" ht="4.5" customHeight="1" x14ac:dyDescent="0.3"/>
    <row r="150" spans="1:8" ht="19.5" customHeight="1" x14ac:dyDescent="0.3">
      <c r="A150" s="150" t="s">
        <v>246</v>
      </c>
      <c r="B150" s="151"/>
      <c r="C150" s="151"/>
      <c r="D150" s="151"/>
      <c r="E150" s="151"/>
      <c r="F150" s="151"/>
      <c r="G150" s="151"/>
      <c r="H150" s="152">
        <f>IFERROR(G148*(1+B121)/(B118-B121),"")</f>
        <v>276369.23132280004</v>
      </c>
    </row>
    <row r="151" spans="1:8" ht="18" customHeight="1" x14ac:dyDescent="0.3">
      <c r="A151" s="36" t="s">
        <v>247</v>
      </c>
      <c r="B151" s="153" t="s">
        <v>248</v>
      </c>
      <c r="C151" s="154">
        <f>IFERROR(1/(1+B118)^1,"")</f>
        <v>0.90909090909090906</v>
      </c>
      <c r="D151" s="154">
        <f>IFERROR(1/(1+B118)^2,"")</f>
        <v>0.82644628099173545</v>
      </c>
      <c r="E151" s="154">
        <f>IFERROR(1/(1+B118)^3,"")</f>
        <v>0.75131480090157754</v>
      </c>
      <c r="F151" s="154">
        <f>IFERROR(1/(1+B118)^4,"")</f>
        <v>0.68301345536507052</v>
      </c>
      <c r="G151" s="154">
        <f>IFERROR(1/(1+B118)^5,"")</f>
        <v>0.62092132305915493</v>
      </c>
      <c r="H151" s="155">
        <f>IFERROR(1/(1+B118)^5,"")</f>
        <v>0.62092132305915493</v>
      </c>
    </row>
    <row r="152" spans="1:8" ht="19.5" customHeight="1" x14ac:dyDescent="0.3">
      <c r="A152" s="23" t="s">
        <v>249</v>
      </c>
      <c r="B152" s="156" t="s">
        <v>248</v>
      </c>
      <c r="C152" s="95">
        <f>IFERROR(C148*C151,"")</f>
        <v>8325</v>
      </c>
      <c r="D152" s="95">
        <f>IFERROR(D148*D151,"")</f>
        <v>8400.6818181818162</v>
      </c>
      <c r="E152" s="95">
        <f>IFERROR(E148*E151,"")</f>
        <v>8477.0516528925582</v>
      </c>
      <c r="F152" s="95">
        <f>IFERROR(F148*F151,"")</f>
        <v>8322.9234410217869</v>
      </c>
      <c r="G152" s="95">
        <f>IFERROR(G148*G151,"")</f>
        <v>8171.5975602759363</v>
      </c>
      <c r="H152" s="93">
        <f>IFERROR(H150*H151,"")</f>
        <v>171603.54876579464</v>
      </c>
    </row>
    <row r="153" spans="1:8" ht="4.5" customHeight="1" x14ac:dyDescent="0.3"/>
    <row r="154" spans="1:8" ht="25.5" customHeight="1" x14ac:dyDescent="0.3">
      <c r="A154" s="157" t="s">
        <v>250</v>
      </c>
      <c r="B154" s="158">
        <f>IFERROR(C152+D152+E152+F152+G152+H152,"")</f>
        <v>213300.80323816673</v>
      </c>
      <c r="C154" s="159" t="s">
        <v>80</v>
      </c>
      <c r="D154" s="160"/>
      <c r="E154" s="160"/>
      <c r="F154" s="160"/>
      <c r="G154" s="160"/>
      <c r="H154" s="160"/>
    </row>
    <row r="155" spans="1:8" ht="19.5" customHeight="1" x14ac:dyDescent="0.3">
      <c r="A155" s="161" t="s">
        <v>251</v>
      </c>
      <c r="B155" s="162">
        <f>IFERROR(B154-B10+B11,"")</f>
        <v>215800.80323816673</v>
      </c>
      <c r="C155" s="163" t="s">
        <v>80</v>
      </c>
      <c r="D155" s="149"/>
      <c r="E155" s="149"/>
      <c r="F155" s="149"/>
      <c r="G155" s="149"/>
      <c r="H155" s="149"/>
    </row>
    <row r="156" spans="1:8" ht="30" customHeight="1" x14ac:dyDescent="0.3">
      <c r="A156" s="164" t="s">
        <v>252</v>
      </c>
      <c r="B156" s="165">
        <f>IFERROR(B155/B7,"")</f>
        <v>918.30129037517759</v>
      </c>
      <c r="C156" s="166" t="s">
        <v>39</v>
      </c>
      <c r="D156" s="167"/>
      <c r="E156" s="167"/>
      <c r="F156" s="167"/>
      <c r="G156" s="167"/>
      <c r="H156" s="167"/>
    </row>
    <row r="157" spans="1:8" ht="19.5" customHeight="1" x14ac:dyDescent="0.3">
      <c r="A157" s="19" t="s">
        <v>253</v>
      </c>
      <c r="B157" s="168">
        <f>IFERROR((B156-B6)/B6,"")</f>
        <v>-0.61737446234367599</v>
      </c>
      <c r="C157" s="169" t="s">
        <v>47</v>
      </c>
      <c r="D157" s="170"/>
      <c r="E157" s="170"/>
      <c r="F157" s="170"/>
      <c r="G157" s="170"/>
      <c r="H157" s="170"/>
    </row>
    <row r="158" spans="1:8" ht="9.75" customHeight="1" x14ac:dyDescent="0.3"/>
    <row r="159" spans="1:8" ht="21.75" customHeight="1" x14ac:dyDescent="0.3">
      <c r="A159" s="220" t="s">
        <v>254</v>
      </c>
      <c r="B159" s="220"/>
      <c r="C159" s="220"/>
      <c r="D159" s="220"/>
      <c r="E159" s="220"/>
      <c r="F159" s="220"/>
      <c r="G159" s="220"/>
      <c r="H159" s="220"/>
    </row>
    <row r="160" spans="1:8" ht="19.5" customHeight="1" x14ac:dyDescent="0.3">
      <c r="A160" s="171" t="s">
        <v>255</v>
      </c>
      <c r="B160" s="218" t="s">
        <v>256</v>
      </c>
      <c r="C160" s="218"/>
      <c r="D160" s="218"/>
      <c r="E160" s="218"/>
      <c r="F160" s="218"/>
      <c r="G160" s="218"/>
      <c r="H160" s="218"/>
    </row>
    <row r="161" spans="1:8" ht="19.5" customHeight="1" x14ac:dyDescent="0.3">
      <c r="A161" s="171" t="s">
        <v>257</v>
      </c>
      <c r="B161" s="218" t="s">
        <v>258</v>
      </c>
      <c r="C161" s="218"/>
      <c r="D161" s="218"/>
      <c r="E161" s="218"/>
      <c r="F161" s="218"/>
      <c r="G161" s="218"/>
      <c r="H161" s="218"/>
    </row>
    <row r="162" spans="1:8" ht="19.5" customHeight="1" x14ac:dyDescent="0.3">
      <c r="A162" s="171" t="s">
        <v>259</v>
      </c>
      <c r="B162" s="218" t="s">
        <v>260</v>
      </c>
      <c r="C162" s="218"/>
      <c r="D162" s="218"/>
      <c r="E162" s="218"/>
      <c r="F162" s="218"/>
      <c r="G162" s="218"/>
      <c r="H162" s="218"/>
    </row>
    <row r="163" spans="1:8" ht="19.5" customHeight="1" x14ac:dyDescent="0.3">
      <c r="A163" s="171" t="s">
        <v>261</v>
      </c>
      <c r="B163" s="218" t="s">
        <v>262</v>
      </c>
      <c r="C163" s="218"/>
      <c r="D163" s="218"/>
      <c r="E163" s="218"/>
      <c r="F163" s="218"/>
      <c r="G163" s="218"/>
      <c r="H163" s="218"/>
    </row>
    <row r="164" spans="1:8" ht="19.5" customHeight="1" x14ac:dyDescent="0.3">
      <c r="A164" s="171" t="s">
        <v>263</v>
      </c>
      <c r="B164" s="218" t="s">
        <v>264</v>
      </c>
      <c r="C164" s="218"/>
      <c r="D164" s="218"/>
      <c r="E164" s="218"/>
      <c r="F164" s="218"/>
      <c r="G164" s="218"/>
      <c r="H164" s="218"/>
    </row>
    <row r="165" spans="1:8" ht="19.5" customHeight="1" x14ac:dyDescent="0.3">
      <c r="A165" s="171" t="s">
        <v>265</v>
      </c>
      <c r="B165" s="218" t="s">
        <v>295</v>
      </c>
      <c r="C165" s="218"/>
      <c r="D165" s="218"/>
      <c r="E165" s="218"/>
      <c r="F165" s="218"/>
      <c r="G165" s="218"/>
      <c r="H165" s="218"/>
    </row>
    <row r="166" spans="1:8" ht="7.5" customHeight="1" x14ac:dyDescent="0.3"/>
    <row r="167" spans="1:8" ht="36" customHeight="1" x14ac:dyDescent="0.3">
      <c r="A167" s="219" t="s">
        <v>267</v>
      </c>
      <c r="B167" s="219"/>
      <c r="C167" s="219"/>
      <c r="D167" s="219"/>
      <c r="E167" s="219"/>
      <c r="F167" s="219"/>
      <c r="G167" s="219"/>
      <c r="H167" s="219"/>
    </row>
  </sheetData>
  <mergeCells count="38">
    <mergeCell ref="A1:C1"/>
    <mergeCell ref="A2:C2"/>
    <mergeCell ref="A4:C4"/>
    <mergeCell ref="A13:C13"/>
    <mergeCell ref="A18:C18"/>
    <mergeCell ref="A26:C26"/>
    <mergeCell ref="A30:C30"/>
    <mergeCell ref="A34:C34"/>
    <mergeCell ref="A39:C39"/>
    <mergeCell ref="A47:C47"/>
    <mergeCell ref="A54:C54"/>
    <mergeCell ref="A55:C55"/>
    <mergeCell ref="A57:C57"/>
    <mergeCell ref="A62:C62"/>
    <mergeCell ref="A67:C67"/>
    <mergeCell ref="A72:C72"/>
    <mergeCell ref="A76:C76"/>
    <mergeCell ref="A79:C79"/>
    <mergeCell ref="A80:C80"/>
    <mergeCell ref="A82:C82"/>
    <mergeCell ref="A86:C86"/>
    <mergeCell ref="A98:C98"/>
    <mergeCell ref="A102:C102"/>
    <mergeCell ref="A111:C111"/>
    <mergeCell ref="A114:H114"/>
    <mergeCell ref="B165:H165"/>
    <mergeCell ref="A167:H167"/>
    <mergeCell ref="A96:C96"/>
    <mergeCell ref="B160:H160"/>
    <mergeCell ref="B161:H161"/>
    <mergeCell ref="B162:H162"/>
    <mergeCell ref="B163:H163"/>
    <mergeCell ref="B164:H164"/>
    <mergeCell ref="A115:H115"/>
    <mergeCell ref="A117:H117"/>
    <mergeCell ref="A128:H128"/>
    <mergeCell ref="A136:H136"/>
    <mergeCell ref="A159:H159"/>
  </mergeCells>
  <conditionalFormatting sqref="B60">
    <cfRule type="expression" dxfId="239" priority="2">
      <formula>B45&gt;0.2</formula>
    </cfRule>
    <cfRule type="expression" dxfId="238" priority="3">
      <formula>AND(B45&gt;0.1,B45&lt;=0.2)</formula>
    </cfRule>
    <cfRule type="expression" dxfId="237" priority="4">
      <formula>AND(B45&gt;=-0.1,B45&lt;=0.1)</formula>
    </cfRule>
    <cfRule type="expression" dxfId="236" priority="5">
      <formula>AND(B45&gt;=-0.2,B45&lt;-0.1)</formula>
    </cfRule>
    <cfRule type="expression" dxfId="235" priority="6">
      <formula>B45&lt;-0.2</formula>
    </cfRule>
  </conditionalFormatting>
  <conditionalFormatting sqref="B63">
    <cfRule type="expression" dxfId="234" priority="7">
      <formula>B28&gt;0.2</formula>
    </cfRule>
    <cfRule type="expression" dxfId="233" priority="8">
      <formula>AND(B28&gt;0.1,B28&lt;=0.2)</formula>
    </cfRule>
    <cfRule type="expression" dxfId="232" priority="9">
      <formula>AND(B28&gt;=-0.1,B28&lt;=0.1)</formula>
    </cfRule>
    <cfRule type="expression" dxfId="231" priority="10">
      <formula>AND(B28&gt;=-0.2,B28&lt;-0.1)</formula>
    </cfRule>
    <cfRule type="expression" dxfId="230" priority="11">
      <formula>B28&lt;-0.2</formula>
    </cfRule>
  </conditionalFormatting>
  <conditionalFormatting sqref="B64">
    <cfRule type="expression" dxfId="229" priority="12">
      <formula>B32&gt;0.2</formula>
    </cfRule>
    <cfRule type="expression" dxfId="228" priority="13">
      <formula>AND(B32&gt;0.1,B32&lt;=0.2)</formula>
    </cfRule>
    <cfRule type="expression" dxfId="227" priority="14">
      <formula>AND(B32&gt;=-0.1,B32&lt;=0.1)</formula>
    </cfRule>
    <cfRule type="expression" dxfId="226" priority="15">
      <formula>AND(B32&gt;=-0.2,B32&lt;-0.1)</formula>
    </cfRule>
    <cfRule type="expression" dxfId="225" priority="16">
      <formula>B32&lt;-0.2</formula>
    </cfRule>
  </conditionalFormatting>
  <conditionalFormatting sqref="B65">
    <cfRule type="expression" dxfId="224" priority="17">
      <formula>B37&gt;0.2</formula>
    </cfRule>
    <cfRule type="expression" dxfId="223" priority="18">
      <formula>AND(B37&gt;0.1,B37&lt;=0.2)</formula>
    </cfRule>
    <cfRule type="expression" dxfId="222" priority="19">
      <formula>AND(B37&gt;=-0.1,B37&lt;=0.1)</formula>
    </cfRule>
    <cfRule type="expression" dxfId="221" priority="20">
      <formula>AND(B37&gt;=-0.2,B37&lt;-0.1)</formula>
    </cfRule>
    <cfRule type="expression" dxfId="220" priority="21">
      <formula>B37&lt;-0.2</formula>
    </cfRule>
  </conditionalFormatting>
  <conditionalFormatting sqref="B73">
    <cfRule type="expression" dxfId="219" priority="22">
      <formula>B45&gt;0.2</formula>
    </cfRule>
    <cfRule type="expression" dxfId="218" priority="23">
      <formula>AND(B45&gt;0.1,B45&lt;=0.2)</formula>
    </cfRule>
    <cfRule type="expression" dxfId="217" priority="24">
      <formula>AND(B45&gt;=-0.1,B45&lt;=0.1)</formula>
    </cfRule>
    <cfRule type="expression" dxfId="216" priority="25">
      <formula>AND(B45&gt;=-0.2,B45&lt;-0.1)</formula>
    </cfRule>
    <cfRule type="expression" dxfId="215" priority="26">
      <formula>B45&lt;-0.2</formula>
    </cfRule>
  </conditionalFormatting>
  <conditionalFormatting sqref="B74">
    <cfRule type="expression" dxfId="214" priority="27">
      <formula>B45&gt;0.2</formula>
    </cfRule>
    <cfRule type="expression" dxfId="213" priority="28">
      <formula>AND(B45&gt;0.1,B45&lt;=0.2)</formula>
    </cfRule>
    <cfRule type="expression" dxfId="212" priority="29">
      <formula>AND(B45&gt;=-0.1,B45&lt;=0.1)</formula>
    </cfRule>
    <cfRule type="expression" dxfId="211" priority="30">
      <formula>AND(B45&gt;=-0.2,B45&lt;-0.1)</formula>
    </cfRule>
    <cfRule type="expression" dxfId="210" priority="31">
      <formula>B45&lt;-0.2</formula>
    </cfRule>
  </conditionalFormatting>
  <conditionalFormatting sqref="B100">
    <cfRule type="expression" dxfId="209" priority="58">
      <formula>AND(B6&gt;B44*(1-B83*0.5),B6&lt;=B44)</formula>
    </cfRule>
    <cfRule type="expression" dxfId="208" priority="55">
      <formula>B6&lt;=B44*(1-B83*1.5)</formula>
    </cfRule>
    <cfRule type="expression" dxfId="207" priority="56">
      <formula>AND(B6&gt;B44*(1-B83*1.5),B6&lt;=B44*(1-B83))</formula>
    </cfRule>
    <cfRule type="expression" dxfId="206" priority="57">
      <formula>AND(B6&gt;B44*(1-B83),B6&lt;=B44*(1-B83*0.5))</formula>
    </cfRule>
    <cfRule type="expression" dxfId="205" priority="59">
      <formula>AND(B6&gt;B44,B6&lt;=B44*1.15)</formula>
    </cfRule>
    <cfRule type="expression" dxfId="204" priority="60">
      <formula>B6&gt;B44*1.15</formula>
    </cfRule>
  </conditionalFormatting>
  <conditionalFormatting sqref="C88">
    <cfRule type="expression" dxfId="203" priority="61">
      <formula>B6&lt;B88</formula>
    </cfRule>
    <cfRule type="expression" dxfId="202" priority="62">
      <formula>B6&gt;=B88</formula>
    </cfRule>
  </conditionalFormatting>
  <conditionalFormatting sqref="C89">
    <cfRule type="expression" dxfId="201" priority="64">
      <formula>B6&gt;=B89</formula>
    </cfRule>
    <cfRule type="expression" dxfId="200" priority="63">
      <formula>B6&lt;B89</formula>
    </cfRule>
  </conditionalFormatting>
  <conditionalFormatting sqref="C90">
    <cfRule type="expression" dxfId="199" priority="32">
      <formula>B6&lt;B90</formula>
    </cfRule>
    <cfRule type="expression" dxfId="198" priority="33">
      <formula>B6&gt;=B90</formula>
    </cfRule>
  </conditionalFormatting>
  <conditionalFormatting sqref="C91">
    <cfRule type="expression" dxfId="197" priority="34">
      <formula>B6&lt;B91</formula>
    </cfRule>
    <cfRule type="expression" dxfId="196" priority="35">
      <formula>B6&gt;=B91</formula>
    </cfRule>
  </conditionalFormatting>
  <conditionalFormatting sqref="C92">
    <cfRule type="expression" dxfId="195" priority="36">
      <formula>B6&lt;B92</formula>
    </cfRule>
    <cfRule type="expression" dxfId="194" priority="37">
      <formula>B6&gt;=B92</formula>
    </cfRule>
  </conditionalFormatting>
  <conditionalFormatting sqref="C93">
    <cfRule type="expression" dxfId="193" priority="38">
      <formula>B6&lt;B93</formula>
    </cfRule>
    <cfRule type="expression" dxfId="192" priority="39">
      <formula>B6&gt;=B93</formula>
    </cfRule>
  </conditionalFormatting>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5"/>
  <sheetViews>
    <sheetView showGridLines="0" topLeftCell="A70" zoomScaleNormal="100" workbookViewId="0">
      <selection activeCell="A70" sqref="A70:C70"/>
    </sheetView>
  </sheetViews>
  <sheetFormatPr defaultColWidth="8.6640625" defaultRowHeight="14.4" x14ac:dyDescent="0.3"/>
  <cols>
    <col min="1" max="1" width="71.6640625" customWidth="1"/>
    <col min="2" max="2" width="25.21875" customWidth="1"/>
    <col min="3" max="3" width="29.44140625" customWidth="1"/>
    <col min="4" max="7" width="13" customWidth="1"/>
    <col min="8" max="8" width="14" customWidth="1"/>
  </cols>
  <sheetData>
    <row r="1" spans="1:3" ht="31.5" customHeight="1" x14ac:dyDescent="0.3">
      <c r="A1" s="206" t="s">
        <v>296</v>
      </c>
      <c r="B1" s="206"/>
      <c r="C1" s="206"/>
    </row>
    <row r="2" spans="1:3" ht="27.75" customHeight="1" x14ac:dyDescent="0.3">
      <c r="A2" s="207" t="s">
        <v>297</v>
      </c>
      <c r="B2" s="207"/>
      <c r="C2" s="207"/>
    </row>
    <row r="3" spans="1:3" ht="7.5" customHeight="1" x14ac:dyDescent="0.3"/>
    <row r="4" spans="1:3" ht="19.5" customHeight="1" x14ac:dyDescent="0.3">
      <c r="A4" s="208" t="s">
        <v>35</v>
      </c>
      <c r="B4" s="208"/>
      <c r="C4" s="208"/>
    </row>
    <row r="5" spans="1:3" ht="18" customHeight="1" x14ac:dyDescent="0.3">
      <c r="A5" s="179" t="s">
        <v>36</v>
      </c>
      <c r="B5" s="180" t="s">
        <v>298</v>
      </c>
      <c r="C5" s="181"/>
    </row>
    <row r="6" spans="1:3" ht="18" customHeight="1" x14ac:dyDescent="0.3">
      <c r="A6" s="179" t="s">
        <v>38</v>
      </c>
      <c r="B6" s="182">
        <v>2900</v>
      </c>
      <c r="C6" s="181" t="s">
        <v>39</v>
      </c>
    </row>
    <row r="7" spans="1:3" ht="18" customHeight="1" x14ac:dyDescent="0.3">
      <c r="A7" s="179" t="s">
        <v>40</v>
      </c>
      <c r="B7" s="183">
        <v>680</v>
      </c>
      <c r="C7" s="181" t="s">
        <v>41</v>
      </c>
    </row>
    <row r="8" spans="1:3" ht="18" customHeight="1" x14ac:dyDescent="0.3">
      <c r="A8" s="179" t="s">
        <v>143</v>
      </c>
      <c r="B8" s="182">
        <v>90</v>
      </c>
      <c r="C8" s="181" t="s">
        <v>39</v>
      </c>
    </row>
    <row r="9" spans="1:3" ht="18" customHeight="1" x14ac:dyDescent="0.3">
      <c r="A9" s="179" t="s">
        <v>44</v>
      </c>
      <c r="B9" s="182">
        <v>10</v>
      </c>
      <c r="C9" s="181" t="s">
        <v>39</v>
      </c>
    </row>
    <row r="10" spans="1:3" ht="18" customHeight="1" x14ac:dyDescent="0.3">
      <c r="A10" s="179" t="s">
        <v>146</v>
      </c>
      <c r="B10" s="183">
        <v>350000</v>
      </c>
      <c r="C10" s="181" t="s">
        <v>80</v>
      </c>
    </row>
    <row r="11" spans="1:3" ht="18" customHeight="1" x14ac:dyDescent="0.3">
      <c r="A11" s="179" t="s">
        <v>147</v>
      </c>
      <c r="B11" s="183">
        <v>180000</v>
      </c>
      <c r="C11" s="181" t="s">
        <v>80</v>
      </c>
    </row>
    <row r="12" spans="1:3" ht="7.5" customHeight="1" x14ac:dyDescent="0.3"/>
    <row r="13" spans="1:3" ht="19.5" customHeight="1" x14ac:dyDescent="0.3">
      <c r="A13" s="208" t="s">
        <v>45</v>
      </c>
      <c r="B13" s="208"/>
      <c r="C13" s="208"/>
    </row>
    <row r="14" spans="1:3" ht="18" customHeight="1" x14ac:dyDescent="0.3">
      <c r="A14" s="179" t="s">
        <v>145</v>
      </c>
      <c r="B14" s="183">
        <v>900000</v>
      </c>
      <c r="C14" s="181" t="s">
        <v>80</v>
      </c>
    </row>
    <row r="15" spans="1:3" ht="18" customHeight="1" x14ac:dyDescent="0.3">
      <c r="A15" s="179" t="s">
        <v>144</v>
      </c>
      <c r="B15" s="183">
        <v>180000</v>
      </c>
      <c r="C15" s="181" t="s">
        <v>80</v>
      </c>
    </row>
    <row r="16" spans="1:3" ht="18" customHeight="1" x14ac:dyDescent="0.3">
      <c r="A16" s="179" t="s">
        <v>200</v>
      </c>
      <c r="B16" s="191">
        <v>0.2</v>
      </c>
      <c r="C16" s="181" t="s">
        <v>47</v>
      </c>
    </row>
    <row r="17" spans="1:3" ht="7.5" customHeight="1" x14ac:dyDescent="0.3"/>
    <row r="18" spans="1:3" ht="19.5" customHeight="1" x14ac:dyDescent="0.3">
      <c r="A18" s="208" t="s">
        <v>54</v>
      </c>
      <c r="B18" s="208"/>
      <c r="C18" s="208"/>
    </row>
    <row r="19" spans="1:3" ht="18" customHeight="1" x14ac:dyDescent="0.3">
      <c r="A19" s="179" t="s">
        <v>178</v>
      </c>
      <c r="B19" s="192">
        <v>8</v>
      </c>
      <c r="C19" s="181" t="s">
        <v>60</v>
      </c>
    </row>
    <row r="20" spans="1:3" ht="18" customHeight="1" x14ac:dyDescent="0.3">
      <c r="A20" s="179" t="s">
        <v>275</v>
      </c>
      <c r="B20" s="192">
        <v>1.5</v>
      </c>
      <c r="C20" s="181" t="s">
        <v>60</v>
      </c>
    </row>
    <row r="21" spans="1:3" ht="18" customHeight="1" x14ac:dyDescent="0.3">
      <c r="A21" s="179" t="s">
        <v>176</v>
      </c>
      <c r="B21" s="192">
        <v>15</v>
      </c>
      <c r="C21" s="181" t="s">
        <v>60</v>
      </c>
    </row>
    <row r="22" spans="1:3" ht="7.5" customHeight="1" x14ac:dyDescent="0.3"/>
    <row r="23" spans="1:3" ht="19.5" customHeight="1" x14ac:dyDescent="0.3">
      <c r="A23" s="205" t="s">
        <v>208</v>
      </c>
      <c r="B23" s="205"/>
      <c r="C23" s="205"/>
    </row>
    <row r="24" spans="1:3" ht="18" customHeight="1" x14ac:dyDescent="0.3">
      <c r="A24" s="16" t="s">
        <v>209</v>
      </c>
      <c r="B24" s="17">
        <f>IFERROR((B19*B15-B10+B11)/B7,"")</f>
        <v>1867.6470588235295</v>
      </c>
      <c r="C24" s="18" t="s">
        <v>39</v>
      </c>
    </row>
    <row r="25" spans="1:3" ht="18" customHeight="1" x14ac:dyDescent="0.3">
      <c r="A25" s="19" t="s">
        <v>62</v>
      </c>
      <c r="B25" s="20">
        <f>IFERROR((B24-B6)/B6,"")</f>
        <v>-0.35598377281947258</v>
      </c>
      <c r="C25" s="21" t="s">
        <v>47</v>
      </c>
    </row>
    <row r="26" spans="1:3" ht="7.5" customHeight="1" x14ac:dyDescent="0.3"/>
    <row r="27" spans="1:3" ht="19.5" customHeight="1" x14ac:dyDescent="0.3">
      <c r="A27" s="205" t="s">
        <v>276</v>
      </c>
      <c r="B27" s="205"/>
      <c r="C27" s="205"/>
    </row>
    <row r="28" spans="1:3" ht="18" customHeight="1" x14ac:dyDescent="0.3">
      <c r="A28" s="16" t="s">
        <v>277</v>
      </c>
      <c r="B28" s="17">
        <f>IFERROR((B20*B14-B10+B11)/B7,"")</f>
        <v>1735.2941176470588</v>
      </c>
      <c r="C28" s="18" t="s">
        <v>39</v>
      </c>
    </row>
    <row r="29" spans="1:3" ht="18" customHeight="1" x14ac:dyDescent="0.3">
      <c r="A29" s="19" t="s">
        <v>62</v>
      </c>
      <c r="B29" s="20">
        <f>IFERROR((B28-B6)/B6,"")</f>
        <v>-0.40162271805273836</v>
      </c>
      <c r="C29" s="21" t="s">
        <v>47</v>
      </c>
    </row>
    <row r="30" spans="1:3" ht="7.5" customHeight="1" x14ac:dyDescent="0.3"/>
    <row r="31" spans="1:3" ht="19.5" customHeight="1" x14ac:dyDescent="0.3">
      <c r="A31" s="205" t="s">
        <v>66</v>
      </c>
      <c r="B31" s="205"/>
      <c r="C31" s="205"/>
    </row>
    <row r="32" spans="1:3" ht="18" customHeight="1" x14ac:dyDescent="0.3">
      <c r="A32" s="16" t="s">
        <v>68</v>
      </c>
      <c r="B32" s="17">
        <f>IFERROR(B21*B8,"")</f>
        <v>1350</v>
      </c>
      <c r="C32" s="18" t="s">
        <v>39</v>
      </c>
    </row>
    <row r="33" spans="1:3" ht="18" customHeight="1" x14ac:dyDescent="0.3">
      <c r="A33" s="19" t="s">
        <v>62</v>
      </c>
      <c r="B33" s="20">
        <f>IFERROR((B32-B6)/B6,"")</f>
        <v>-0.53448275862068961</v>
      </c>
      <c r="C33" s="21" t="s">
        <v>47</v>
      </c>
    </row>
    <row r="34" spans="1:3" ht="7.5" customHeight="1" x14ac:dyDescent="0.3"/>
    <row r="35" spans="1:3" ht="19.5" customHeight="1" x14ac:dyDescent="0.3">
      <c r="A35" s="200" t="s">
        <v>71</v>
      </c>
      <c r="B35" s="200"/>
      <c r="C35" s="200"/>
    </row>
    <row r="36" spans="1:3" ht="19.5" customHeight="1" x14ac:dyDescent="0.3">
      <c r="A36" s="23" t="s">
        <v>38</v>
      </c>
      <c r="B36" s="24">
        <f>B6</f>
        <v>2900</v>
      </c>
      <c r="C36" s="25" t="s">
        <v>39</v>
      </c>
    </row>
    <row r="37" spans="1:3" ht="19.5" customHeight="1" x14ac:dyDescent="0.3">
      <c r="A37" s="23" t="s">
        <v>183</v>
      </c>
      <c r="B37" s="24">
        <f>IFERROR(B24,"")</f>
        <v>1867.6470588235295</v>
      </c>
      <c r="C37" s="25" t="s">
        <v>39</v>
      </c>
    </row>
    <row r="38" spans="1:3" ht="19.5" customHeight="1" x14ac:dyDescent="0.3">
      <c r="A38" s="23" t="s">
        <v>181</v>
      </c>
      <c r="B38" s="24">
        <f>B154</f>
        <v>1818.5456677611617</v>
      </c>
      <c r="C38" s="25" t="s">
        <v>39</v>
      </c>
    </row>
    <row r="39" spans="1:3" ht="19.5" customHeight="1" x14ac:dyDescent="0.3">
      <c r="A39" s="23" t="s">
        <v>278</v>
      </c>
      <c r="B39" s="24">
        <f>IFERROR(B28,"")</f>
        <v>1735.2941176470588</v>
      </c>
      <c r="C39" s="25" t="s">
        <v>39</v>
      </c>
    </row>
    <row r="40" spans="1:3" ht="19.5" customHeight="1" x14ac:dyDescent="0.3">
      <c r="A40" s="23" t="s">
        <v>182</v>
      </c>
      <c r="B40" s="24">
        <f>IFERROR(B32,"")</f>
        <v>1350</v>
      </c>
      <c r="C40" s="25" t="s">
        <v>39</v>
      </c>
    </row>
    <row r="41" spans="1:3" ht="19.5" customHeight="1" x14ac:dyDescent="0.3">
      <c r="A41" s="139" t="s">
        <v>76</v>
      </c>
      <c r="B41" s="99">
        <f>IFERROR(AVERAGE(B37:B40),"")</f>
        <v>1692.8717110579375</v>
      </c>
      <c r="C41" s="28" t="s">
        <v>39</v>
      </c>
    </row>
    <row r="42" spans="1:3" ht="19.5" customHeight="1" x14ac:dyDescent="0.3">
      <c r="A42" s="139" t="s">
        <v>77</v>
      </c>
      <c r="B42" s="107">
        <f>IFERROR((B41-B6)/B6,"")</f>
        <v>-0.41625113411795256</v>
      </c>
      <c r="C42" s="28" t="s">
        <v>47</v>
      </c>
    </row>
    <row r="43" spans="1:3" ht="7.5" customHeight="1" x14ac:dyDescent="0.3"/>
    <row r="44" spans="1:3" ht="19.5" customHeight="1" x14ac:dyDescent="0.3">
      <c r="A44" s="199" t="s">
        <v>78</v>
      </c>
      <c r="B44" s="199"/>
      <c r="C44" s="199"/>
    </row>
    <row r="45" spans="1:3" ht="18" customHeight="1" x14ac:dyDescent="0.3">
      <c r="A45" s="16" t="s">
        <v>79</v>
      </c>
      <c r="B45" s="30">
        <f>IFERROR(B6*B7,"")</f>
        <v>1972000</v>
      </c>
      <c r="C45" s="18" t="s">
        <v>80</v>
      </c>
    </row>
    <row r="46" spans="1:3" ht="18" customHeight="1" x14ac:dyDescent="0.3">
      <c r="A46" s="16" t="s">
        <v>213</v>
      </c>
      <c r="B46" s="30">
        <f>IFERROR(B10-B11,"")</f>
        <v>170000</v>
      </c>
      <c r="C46" s="18" t="s">
        <v>80</v>
      </c>
    </row>
    <row r="47" spans="1:3" ht="18" customHeight="1" x14ac:dyDescent="0.3">
      <c r="A47" s="16" t="s">
        <v>184</v>
      </c>
      <c r="B47" s="22">
        <f>IFERROR((B6*B7+B10-B11)/B15,"")</f>
        <v>11.9</v>
      </c>
      <c r="C47" s="18" t="s">
        <v>60</v>
      </c>
    </row>
    <row r="48" spans="1:3" ht="18" customHeight="1" x14ac:dyDescent="0.3">
      <c r="A48" s="16" t="s">
        <v>291</v>
      </c>
      <c r="B48" s="31">
        <f>IFERROR(B9/B6,"")</f>
        <v>3.4482758620689655E-3</v>
      </c>
      <c r="C48" s="18" t="s">
        <v>47</v>
      </c>
    </row>
    <row r="49" spans="1:3" ht="18" customHeight="1" x14ac:dyDescent="0.3">
      <c r="A49" s="16" t="s">
        <v>200</v>
      </c>
      <c r="B49" s="31">
        <f>B16</f>
        <v>0.2</v>
      </c>
      <c r="C49" s="18" t="s">
        <v>47</v>
      </c>
    </row>
    <row r="51" spans="1:3" ht="33.75" customHeight="1" x14ac:dyDescent="0.3">
      <c r="A51" s="203" t="s">
        <v>84</v>
      </c>
      <c r="B51" s="203"/>
      <c r="C51" s="203"/>
    </row>
    <row r="52" spans="1:3" ht="24" customHeight="1" x14ac:dyDescent="0.3">
      <c r="A52" s="204" t="s">
        <v>85</v>
      </c>
      <c r="B52" s="204"/>
      <c r="C52" s="204"/>
    </row>
    <row r="53" spans="1:3" ht="7.5" customHeight="1" x14ac:dyDescent="0.3"/>
    <row r="54" spans="1:3" ht="19.5" customHeight="1" x14ac:dyDescent="0.3">
      <c r="A54" s="199" t="s">
        <v>86</v>
      </c>
      <c r="B54" s="199"/>
      <c r="C54" s="199"/>
    </row>
    <row r="55" spans="1:3" ht="18" customHeight="1" x14ac:dyDescent="0.3">
      <c r="A55" s="11" t="s">
        <v>38</v>
      </c>
      <c r="B55" s="32">
        <f>B6</f>
        <v>2900</v>
      </c>
      <c r="C55" s="33" t="s">
        <v>39</v>
      </c>
    </row>
    <row r="56" spans="1:3" ht="18" customHeight="1" x14ac:dyDescent="0.3">
      <c r="A56" s="11" t="s">
        <v>76</v>
      </c>
      <c r="B56" s="32">
        <f>B41</f>
        <v>1692.8717110579375</v>
      </c>
      <c r="C56" s="33" t="s">
        <v>39</v>
      </c>
    </row>
    <row r="57" spans="1:3" ht="19.5" customHeight="1" x14ac:dyDescent="0.3">
      <c r="A57" s="34" t="s">
        <v>87</v>
      </c>
      <c r="B57" s="35">
        <f>B42</f>
        <v>-0.41625113411795256</v>
      </c>
      <c r="C57" s="36" t="s">
        <v>47</v>
      </c>
    </row>
    <row r="58" spans="1:3" ht="7.5" customHeight="1" x14ac:dyDescent="0.3"/>
    <row r="59" spans="1:3" ht="19.5" customHeight="1" x14ac:dyDescent="0.3">
      <c r="A59" s="199" t="s">
        <v>88</v>
      </c>
      <c r="B59" s="199"/>
      <c r="C59" s="199"/>
    </row>
    <row r="60" spans="1:3" ht="21.75" customHeight="1" x14ac:dyDescent="0.3">
      <c r="A60" s="11" t="s">
        <v>216</v>
      </c>
      <c r="B60" s="37" t="str">
        <f>IF(B25="","— Enter Data —",IF(B25&gt;0.2,"STRONG BUY",IF(B25&gt;0.1,"BUY",IF(B25&gt;=-0.1,"HOLD",IF(B25&gt;=-0.2,"SELL","STRONG SELL")))))</f>
        <v>STRONG SELL</v>
      </c>
      <c r="C60" s="38"/>
    </row>
    <row r="61" spans="1:3" ht="21.75" customHeight="1" x14ac:dyDescent="0.3">
      <c r="A61" s="11" t="s">
        <v>280</v>
      </c>
      <c r="B61" s="37" t="str">
        <f>IF(B29="","— Enter Data —",IF(B29&gt;0.2,"STRONG BUY",IF(B29&gt;0.1,"BUY",IF(B29&gt;=-0.1,"HOLD",IF(B29&gt;=-0.2,"SELL","STRONG SELL")))))</f>
        <v>STRONG SELL</v>
      </c>
      <c r="C61" s="38"/>
    </row>
    <row r="62" spans="1:3" ht="21.75" customHeight="1" x14ac:dyDescent="0.3">
      <c r="A62" s="11" t="s">
        <v>91</v>
      </c>
      <c r="B62" s="37" t="str">
        <f>IF(B33="","— Enter Data —",IF(B33&gt;0.2,"STRONG BUY",IF(B33&gt;0.1,"BUY",IF(B33&gt;=-0.1,"HOLD",IF(B33&gt;=-0.2,"SELL","STRONG SELL")))))</f>
        <v>STRONG SELL</v>
      </c>
      <c r="C62" s="38"/>
    </row>
    <row r="63" spans="1:3" ht="21.75" customHeight="1" x14ac:dyDescent="0.3">
      <c r="A63" s="11" t="s">
        <v>354</v>
      </c>
      <c r="B63" s="37" t="str">
        <f>IF(B155="","— Enter Data —",IF(B155&gt;0.2,"STRONG BUY",IF(B155&gt;0.1,"BUY",IF(B155&gt;=-0.1,"HOLD",IF(B155&gt;=-0.2,"SELL","STRONG SELL")))))</f>
        <v>STRONG SELL</v>
      </c>
      <c r="C63" s="38"/>
    </row>
    <row r="64" spans="1:3" ht="7.5" customHeight="1" x14ac:dyDescent="0.3"/>
    <row r="65" spans="1:3" ht="19.5" customHeight="1" x14ac:dyDescent="0.3">
      <c r="A65" s="199" t="s">
        <v>93</v>
      </c>
      <c r="B65" s="199"/>
      <c r="C65" s="199"/>
    </row>
    <row r="66" spans="1:3" ht="18" customHeight="1" x14ac:dyDescent="0.3">
      <c r="A66" s="11" t="s">
        <v>94</v>
      </c>
      <c r="B66" s="39">
        <f>COUNTIF(B60,"*BUY*")+COUNTIF(B61,"*BUY*")+COUNTIF(B63,"*BUY*")+COUNTIF(B62,"*BUY*")</f>
        <v>0</v>
      </c>
      <c r="C66" s="33" t="s">
        <v>95</v>
      </c>
    </row>
    <row r="67" spans="1:3" ht="18" customHeight="1" x14ac:dyDescent="0.3">
      <c r="A67" s="11" t="s">
        <v>96</v>
      </c>
      <c r="B67" s="40">
        <f>COUNTIF(B60,"HOLD")+COUNTIF(B61,"HOLD")+COUNTIF(B63,"HOLD")+COUNTIF(B62,"HOLD")</f>
        <v>0</v>
      </c>
      <c r="C67" s="33" t="s">
        <v>95</v>
      </c>
    </row>
    <row r="68" spans="1:3" ht="18" customHeight="1" x14ac:dyDescent="0.3">
      <c r="A68" s="11" t="s">
        <v>97</v>
      </c>
      <c r="B68" s="41">
        <f>COUNTIF(B60,"*SELL*")+COUNTIF(B61,"*SELL*")+COUNTIF(B63,"*SELL*")+COUNTIF(B62,"*SELL*")</f>
        <v>4</v>
      </c>
      <c r="C68" s="33" t="s">
        <v>95</v>
      </c>
    </row>
    <row r="69" spans="1:3" ht="9.75" customHeight="1" x14ac:dyDescent="0.3"/>
    <row r="70" spans="1:3" ht="19.5" customHeight="1" x14ac:dyDescent="0.3">
      <c r="A70" s="200" t="s">
        <v>98</v>
      </c>
      <c r="B70" s="200"/>
      <c r="C70" s="200"/>
    </row>
    <row r="71" spans="1:3" ht="37.5" customHeight="1" x14ac:dyDescent="0.3">
      <c r="A71" s="42" t="s">
        <v>99</v>
      </c>
      <c r="B71" s="43" t="str">
        <f>IF(B42="","— Enter Data —",IF(B42&gt;0.2,"STRONG BUY",IF(B42&gt;0.1,"BUY",IF(B42&gt;=-0.1,"HOLD",IF(B42&gt;=-0.2,"SELL","STRONG SELL")))))</f>
        <v>STRONG SELL</v>
      </c>
      <c r="C71" s="11"/>
    </row>
    <row r="72" spans="1:3" ht="18" customHeight="1" x14ac:dyDescent="0.3">
      <c r="A72" s="44" t="s">
        <v>100</v>
      </c>
      <c r="B72" s="45">
        <f>B42</f>
        <v>-0.41625113411795256</v>
      </c>
      <c r="C72" s="33" t="s">
        <v>101</v>
      </c>
    </row>
    <row r="73" spans="1:3" ht="6" customHeight="1" x14ac:dyDescent="0.3"/>
    <row r="74" spans="1:3" ht="36" customHeight="1" x14ac:dyDescent="0.3">
      <c r="A74" s="201" t="s">
        <v>102</v>
      </c>
      <c r="B74" s="201"/>
      <c r="C74" s="201"/>
    </row>
    <row r="77" spans="1:3" ht="33.75" customHeight="1" x14ac:dyDescent="0.3">
      <c r="A77" s="202" t="s">
        <v>103</v>
      </c>
      <c r="B77" s="202"/>
      <c r="C77" s="202"/>
    </row>
    <row r="78" spans="1:3" ht="25.5" customHeight="1" x14ac:dyDescent="0.3">
      <c r="A78" s="198" t="s">
        <v>104</v>
      </c>
      <c r="B78" s="198"/>
      <c r="C78" s="198"/>
    </row>
    <row r="79" spans="1:3" ht="7.5" customHeight="1" x14ac:dyDescent="0.3"/>
    <row r="80" spans="1:3" ht="19.5" customHeight="1" x14ac:dyDescent="0.3">
      <c r="A80" s="196" t="s">
        <v>105</v>
      </c>
      <c r="B80" s="196"/>
      <c r="C80" s="196"/>
    </row>
    <row r="81" spans="1:3" ht="19.5" customHeight="1" x14ac:dyDescent="0.3">
      <c r="A81" s="11" t="s">
        <v>106</v>
      </c>
      <c r="B81" s="178">
        <v>0.25</v>
      </c>
      <c r="C81" s="33" t="s">
        <v>299</v>
      </c>
    </row>
    <row r="82" spans="1:3" ht="19.5" customHeight="1" x14ac:dyDescent="0.3">
      <c r="A82" s="11" t="s">
        <v>108</v>
      </c>
      <c r="B82" s="178">
        <v>0.15</v>
      </c>
      <c r="C82" s="33" t="s">
        <v>300</v>
      </c>
    </row>
    <row r="83" spans="1:3" ht="7.5" customHeight="1" x14ac:dyDescent="0.3"/>
    <row r="84" spans="1:3" ht="19.5" customHeight="1" x14ac:dyDescent="0.3">
      <c r="A84" s="197" t="s">
        <v>110</v>
      </c>
      <c r="B84" s="197"/>
      <c r="C84" s="197"/>
    </row>
    <row r="85" spans="1:3" ht="18" customHeight="1" x14ac:dyDescent="0.3">
      <c r="A85" s="46" t="s">
        <v>111</v>
      </c>
      <c r="B85" s="46" t="s">
        <v>112</v>
      </c>
      <c r="C85" s="46" t="s">
        <v>113</v>
      </c>
    </row>
    <row r="86" spans="1:3" ht="25.5" customHeight="1" x14ac:dyDescent="0.3">
      <c r="A86" s="47" t="s">
        <v>114</v>
      </c>
      <c r="B86" s="110">
        <f>IFERROR(B41*(1-B81*1.5),"")</f>
        <v>1058.0448194112109</v>
      </c>
      <c r="C86" s="49" t="str">
        <f>IF(OR(B6="",B86=""),"—",IF(ABS(B6-B86)/B86&lt;0.005,"  ◆  CMP IS HERE",IF(B6&lt;B86,"  ✅  BELOW — ENTRY OPEN","  ⬆  ABOVE — NOT YET")))</f>
        <v xml:space="preserve">  ⬆  ABOVE — NOT YET</v>
      </c>
    </row>
    <row r="87" spans="1:3" ht="25.5" customHeight="1" x14ac:dyDescent="0.3">
      <c r="A87" s="50" t="s">
        <v>115</v>
      </c>
      <c r="B87" s="114">
        <f>IFERROR(B41*(1-B81),"")</f>
        <v>1269.6537832934532</v>
      </c>
      <c r="C87" s="52" t="str">
        <f>IF(OR(B6="",B87=""),"—",IF(ABS(B6-B87)/B87&lt;0.005,"  ◆  CMP IS HERE",IF(B6&lt;B87,"  ✅  BELOW — ENTRY OPEN","  ⬆  ABOVE — NOT YET")))</f>
        <v xml:space="preserve">  ⬆  ABOVE — NOT YET</v>
      </c>
    </row>
    <row r="88" spans="1:3" ht="25.5" customHeight="1" x14ac:dyDescent="0.3">
      <c r="A88" s="53" t="s">
        <v>116</v>
      </c>
      <c r="B88" s="118">
        <f>IFERROR(B41*(1-B81*0.5),"")</f>
        <v>1481.2627471756953</v>
      </c>
      <c r="C88" s="55" t="str">
        <f>IF(OR(B6="",B88=""),"—",IF(ABS(B6-B88)/B88&lt;0.005,"  ◆  CMP IS HERE",IF(B6&lt;B88,"  ✅  BELOW — ENTRY OPEN","  ⬆  ABOVE — NOT YET")))</f>
        <v xml:space="preserve">  ⬆  ABOVE — NOT YET</v>
      </c>
    </row>
    <row r="89" spans="1:3" ht="25.5" customHeight="1" x14ac:dyDescent="0.3">
      <c r="A89" s="56" t="s">
        <v>117</v>
      </c>
      <c r="B89" s="122">
        <f>B41</f>
        <v>1692.8717110579375</v>
      </c>
      <c r="C89" s="58" t="str">
        <f>IF(OR(B6="",B89=""),"—",IF(ABS(B6-B89)/B89&lt;0.005,"  ◆  CMP IS HERE",IF(B6&lt;B89,"  ✅  BELOW — ENTRY OPEN","  ⬆  ABOVE — NOT YET")))</f>
        <v xml:space="preserve">  ⬆  ABOVE — NOT YET</v>
      </c>
    </row>
    <row r="90" spans="1:3" ht="25.5" customHeight="1" x14ac:dyDescent="0.3">
      <c r="A90" s="59" t="s">
        <v>118</v>
      </c>
      <c r="B90" s="126">
        <f>IFERROR(B41*1.15,"")</f>
        <v>1946.8024677166279</v>
      </c>
      <c r="C90" s="61" t="str">
        <f>IF(OR(B6="",B90=""),"—",IF(ABS(B6-B90)/B90&lt;0.005,"  ◆  CMP IS HERE",IF(B6&lt;B90,"  ✅  BELOW — ENTRY OPEN","  ⬆  ABOVE — NOT YET")))</f>
        <v xml:space="preserve">  ⬆  ABOVE — NOT YET</v>
      </c>
    </row>
    <row r="91" spans="1:3" ht="25.5" customHeight="1" x14ac:dyDescent="0.3">
      <c r="A91" s="62" t="s">
        <v>119</v>
      </c>
      <c r="B91" s="130">
        <f>IFERROR(B41*1.25,"")</f>
        <v>2116.0896388224219</v>
      </c>
      <c r="C91" s="64" t="str">
        <f>IF(OR(B6="",B91=""),"—",IF(ABS(B6-B91)/B91&lt;0.005,"  ◆  CMP IS HERE",IF(B6&lt;B91,"  ✅  BELOW — ENTRY OPEN","  ⬆  ABOVE — NOT YET")))</f>
        <v xml:space="preserve">  ⬆  ABOVE — NOT YET</v>
      </c>
    </row>
    <row r="92" spans="1:3" ht="25.5" customHeight="1" x14ac:dyDescent="0.3">
      <c r="A92" s="65" t="s">
        <v>120</v>
      </c>
      <c r="B92" s="134">
        <f>IFERROR(B86*(1-B82),"")</f>
        <v>899.33809649952923</v>
      </c>
      <c r="C92" s="67" t="str">
        <f>IF(OR(B6="",B92=""),"—",IF(ABS(B6-B92)/B92&lt;0.005,"  ◆  CMP IS HERE",IF(B6&lt;B92,"  ✅  BELOW — ENTRY OPEN","  ⬆  ABOVE — NOT YET")))</f>
        <v xml:space="preserve">  ⬆  ABOVE — NOT YET</v>
      </c>
    </row>
    <row r="93" spans="1:3" ht="25.5" customHeight="1" x14ac:dyDescent="0.3">
      <c r="A93" s="184"/>
      <c r="B93" s="187"/>
      <c r="C93" s="186"/>
    </row>
    <row r="94" spans="1:3" ht="43.8" customHeight="1" x14ac:dyDescent="0.3">
      <c r="A94" s="198" t="s">
        <v>350</v>
      </c>
      <c r="B94" s="198"/>
      <c r="C94" s="198"/>
    </row>
    <row r="95" spans="1:3" ht="7.5" customHeight="1" x14ac:dyDescent="0.3"/>
    <row r="96" spans="1:3" ht="19.5" customHeight="1" x14ac:dyDescent="0.3">
      <c r="A96" s="196" t="s">
        <v>121</v>
      </c>
      <c r="B96" s="196"/>
      <c r="C96" s="196"/>
    </row>
    <row r="97" spans="1:8" ht="19.5" customHeight="1" x14ac:dyDescent="0.3">
      <c r="A97" s="11" t="s">
        <v>122</v>
      </c>
      <c r="B97" s="68">
        <f>B6</f>
        <v>2900</v>
      </c>
      <c r="C97" s="33" t="s">
        <v>39</v>
      </c>
    </row>
    <row r="98" spans="1:8" ht="27.75" customHeight="1" x14ac:dyDescent="0.3">
      <c r="A98" s="69" t="s">
        <v>123</v>
      </c>
      <c r="B98" s="70" t="str">
        <f>IF(OR(B6="",B41=""),"Enter data above",IF(B6&lt;=B41*(1-B86*1.5),"** STRONG BUY ** Excellent Entry",IF(B6&lt;=B41*(1-B86),"BUY - Good Entry",IF(B6&lt;=B41*(1-B86*0.5),"ACCUMULATE - Reasonable Entry",IF(B6&lt;=B41,"Near Fair Value - Cautious",IF(B6&lt;=B41*1.15,"Above Fair Value - Consider Trimming",IF(B6&lt;=B41*1.25,"EXPENSIVE - Consider Exiting","OVERVALUED - Exit Now")))))))</f>
        <v>OVERVALUED - Exit Now</v>
      </c>
      <c r="C98" s="71"/>
    </row>
    <row r="99" spans="1:8" ht="7.5" customHeight="1" x14ac:dyDescent="0.3"/>
    <row r="100" spans="1:8" ht="19.5" customHeight="1" x14ac:dyDescent="0.3">
      <c r="A100" s="197" t="s">
        <v>124</v>
      </c>
      <c r="B100" s="197"/>
      <c r="C100" s="197"/>
    </row>
    <row r="101" spans="1:8" ht="19.5" customHeight="1" x14ac:dyDescent="0.3">
      <c r="A101" s="72" t="s">
        <v>125</v>
      </c>
      <c r="B101" s="73" t="s">
        <v>126</v>
      </c>
      <c r="C101" s="74"/>
    </row>
    <row r="102" spans="1:8" ht="19.5" customHeight="1" x14ac:dyDescent="0.3">
      <c r="A102" s="75" t="s">
        <v>127</v>
      </c>
      <c r="B102" s="76" t="s">
        <v>128</v>
      </c>
      <c r="C102" s="76"/>
    </row>
    <row r="103" spans="1:8" ht="19.5" customHeight="1" x14ac:dyDescent="0.3">
      <c r="A103" s="77" t="s">
        <v>129</v>
      </c>
      <c r="B103" s="78" t="s">
        <v>130</v>
      </c>
      <c r="C103" s="78"/>
    </row>
    <row r="104" spans="1:8" ht="19.5" customHeight="1" x14ac:dyDescent="0.3">
      <c r="A104" s="79" t="s">
        <v>131</v>
      </c>
      <c r="B104" s="80" t="s">
        <v>132</v>
      </c>
      <c r="C104" s="80"/>
    </row>
    <row r="105" spans="1:8" ht="19.5" customHeight="1" x14ac:dyDescent="0.3">
      <c r="A105" s="81" t="s">
        <v>133</v>
      </c>
      <c r="B105" s="82" t="s">
        <v>134</v>
      </c>
      <c r="C105" s="82"/>
    </row>
    <row r="106" spans="1:8" ht="19.5" customHeight="1" x14ac:dyDescent="0.3">
      <c r="A106" s="83" t="s">
        <v>135</v>
      </c>
      <c r="B106" s="84" t="s">
        <v>136</v>
      </c>
      <c r="C106" s="84"/>
    </row>
    <row r="107" spans="1:8" ht="19.5" customHeight="1" x14ac:dyDescent="0.3">
      <c r="A107" s="85" t="s">
        <v>137</v>
      </c>
      <c r="B107" s="86" t="s">
        <v>138</v>
      </c>
      <c r="C107" s="87"/>
    </row>
    <row r="108" spans="1:8" ht="7.5" customHeight="1" x14ac:dyDescent="0.3"/>
    <row r="109" spans="1:8" ht="43.5" customHeight="1" x14ac:dyDescent="0.3">
      <c r="A109" s="198" t="s">
        <v>139</v>
      </c>
      <c r="B109" s="198"/>
      <c r="C109" s="198"/>
    </row>
    <row r="112" spans="1:8" ht="36" customHeight="1" x14ac:dyDescent="0.3">
      <c r="A112" s="222" t="s">
        <v>301</v>
      </c>
      <c r="B112" s="222"/>
      <c r="C112" s="222"/>
      <c r="D112" s="222"/>
      <c r="E112" s="222"/>
      <c r="F112" s="222"/>
      <c r="G112" s="222"/>
      <c r="H112" s="222"/>
    </row>
    <row r="113" spans="1:8" ht="30" customHeight="1" x14ac:dyDescent="0.3">
      <c r="A113" s="198" t="s">
        <v>351</v>
      </c>
      <c r="B113" s="198"/>
      <c r="C113" s="198"/>
      <c r="D113" s="198"/>
      <c r="E113" s="198"/>
      <c r="F113" s="198"/>
      <c r="G113" s="198"/>
      <c r="H113" s="198"/>
    </row>
    <row r="114" spans="1:8" ht="9.75" customHeight="1" x14ac:dyDescent="0.3"/>
    <row r="115" spans="1:8" ht="21.75" customHeight="1" x14ac:dyDescent="0.3">
      <c r="A115" s="220" t="s">
        <v>220</v>
      </c>
      <c r="B115" s="220"/>
      <c r="C115" s="220"/>
      <c r="D115" s="220"/>
      <c r="E115" s="220"/>
      <c r="F115" s="220"/>
      <c r="G115" s="220"/>
      <c r="H115" s="220"/>
    </row>
    <row r="116" spans="1:8" ht="19.5" customHeight="1" x14ac:dyDescent="0.3">
      <c r="A116" s="11" t="s">
        <v>221</v>
      </c>
      <c r="B116" s="178">
        <v>0.1</v>
      </c>
      <c r="C116" s="33" t="s">
        <v>47</v>
      </c>
      <c r="D116" s="109"/>
      <c r="E116" s="109"/>
      <c r="F116" s="109"/>
      <c r="G116" s="109"/>
      <c r="H116" s="109"/>
    </row>
    <row r="117" spans="1:8" ht="19.5" customHeight="1" x14ac:dyDescent="0.3">
      <c r="A117" s="11" t="s">
        <v>222</v>
      </c>
      <c r="B117" s="178">
        <v>7.0000000000000007E-2</v>
      </c>
      <c r="C117" s="33" t="s">
        <v>47</v>
      </c>
      <c r="D117" s="109"/>
      <c r="E117" s="109"/>
      <c r="F117" s="109"/>
      <c r="G117" s="109"/>
      <c r="H117" s="109"/>
    </row>
    <row r="118" spans="1:8" ht="19.5" customHeight="1" x14ac:dyDescent="0.3">
      <c r="A118" s="11" t="s">
        <v>223</v>
      </c>
      <c r="B118" s="178">
        <v>0.05</v>
      </c>
      <c r="C118" s="33" t="s">
        <v>47</v>
      </c>
      <c r="D118" s="109"/>
      <c r="E118" s="109"/>
      <c r="F118" s="109"/>
      <c r="G118" s="109"/>
      <c r="H118" s="109"/>
    </row>
    <row r="119" spans="1:8" ht="19.5" customHeight="1" x14ac:dyDescent="0.3">
      <c r="A119" s="11" t="s">
        <v>224</v>
      </c>
      <c r="B119" s="178">
        <v>0.03</v>
      </c>
      <c r="C119" s="33" t="s">
        <v>47</v>
      </c>
      <c r="D119" s="109"/>
      <c r="E119" s="109"/>
      <c r="F119" s="109"/>
      <c r="G119" s="109"/>
      <c r="H119" s="109"/>
    </row>
    <row r="120" spans="1:8" ht="19.5" customHeight="1" x14ac:dyDescent="0.3">
      <c r="A120" s="11" t="s">
        <v>225</v>
      </c>
      <c r="B120" s="140">
        <f>B16</f>
        <v>0.2</v>
      </c>
      <c r="C120" s="33" t="s">
        <v>47</v>
      </c>
      <c r="D120" s="109"/>
      <c r="E120" s="109"/>
      <c r="F120" s="109"/>
      <c r="G120" s="109"/>
      <c r="H120" s="109"/>
    </row>
    <row r="121" spans="1:8" ht="19.5" customHeight="1" x14ac:dyDescent="0.3">
      <c r="A121" s="11" t="s">
        <v>153</v>
      </c>
      <c r="B121" s="178">
        <v>0.25</v>
      </c>
      <c r="C121" s="33" t="s">
        <v>47</v>
      </c>
      <c r="D121" s="109"/>
      <c r="E121" s="109"/>
      <c r="F121" s="109"/>
      <c r="G121" s="109"/>
      <c r="H121" s="109"/>
    </row>
    <row r="122" spans="1:8" ht="19.5" customHeight="1" x14ac:dyDescent="0.3">
      <c r="A122" s="11" t="s">
        <v>154</v>
      </c>
      <c r="B122" s="178">
        <v>0.05</v>
      </c>
      <c r="C122" s="33" t="s">
        <v>47</v>
      </c>
      <c r="D122" s="109"/>
      <c r="E122" s="109"/>
      <c r="F122" s="109"/>
      <c r="G122" s="109"/>
      <c r="H122" s="109"/>
    </row>
    <row r="123" spans="1:8" ht="19.5" customHeight="1" x14ac:dyDescent="0.3">
      <c r="A123" s="11" t="s">
        <v>226</v>
      </c>
      <c r="B123" s="178">
        <v>0.06</v>
      </c>
      <c r="C123" s="33" t="s">
        <v>47</v>
      </c>
      <c r="D123" s="109"/>
      <c r="E123" s="109"/>
      <c r="F123" s="109"/>
      <c r="G123" s="109"/>
      <c r="H123" s="109"/>
    </row>
    <row r="124" spans="1:8" ht="19.5" customHeight="1" x14ac:dyDescent="0.3">
      <c r="A124" s="11" t="s">
        <v>156</v>
      </c>
      <c r="B124" s="178">
        <v>0.01</v>
      </c>
      <c r="C124" s="33" t="s">
        <v>47</v>
      </c>
      <c r="D124" s="109"/>
      <c r="E124" s="109"/>
      <c r="F124" s="109"/>
      <c r="G124" s="109"/>
      <c r="H124" s="109"/>
    </row>
    <row r="125" spans="1:8" ht="7.5" customHeight="1" x14ac:dyDescent="0.3"/>
    <row r="126" spans="1:8" ht="21.75" customHeight="1" x14ac:dyDescent="0.3">
      <c r="A126" s="220" t="s">
        <v>227</v>
      </c>
      <c r="B126" s="220"/>
      <c r="C126" s="220"/>
      <c r="D126" s="220"/>
      <c r="E126" s="220"/>
      <c r="F126" s="220"/>
      <c r="G126" s="220"/>
      <c r="H126" s="220"/>
    </row>
    <row r="127" spans="1:8" ht="18" customHeight="1" x14ac:dyDescent="0.3">
      <c r="A127" s="11" t="s">
        <v>228</v>
      </c>
      <c r="B127" s="141">
        <f>B14</f>
        <v>900000</v>
      </c>
      <c r="C127" s="33" t="s">
        <v>80</v>
      </c>
      <c r="D127" s="109"/>
      <c r="E127" s="109"/>
      <c r="F127" s="109"/>
      <c r="G127" s="109"/>
      <c r="H127" s="109"/>
    </row>
    <row r="128" spans="1:8" ht="18" customHeight="1" x14ac:dyDescent="0.3">
      <c r="A128" s="11" t="s">
        <v>229</v>
      </c>
      <c r="B128" s="141">
        <f>B15</f>
        <v>180000</v>
      </c>
      <c r="C128" s="33" t="s">
        <v>80</v>
      </c>
      <c r="D128" s="109"/>
      <c r="E128" s="109"/>
      <c r="F128" s="109"/>
      <c r="G128" s="109"/>
      <c r="H128" s="109"/>
    </row>
    <row r="129" spans="1:8" ht="18" customHeight="1" x14ac:dyDescent="0.3">
      <c r="A129" s="11" t="s">
        <v>230</v>
      </c>
      <c r="B129" s="141">
        <f>B10</f>
        <v>350000</v>
      </c>
      <c r="C129" s="33" t="s">
        <v>80</v>
      </c>
      <c r="D129" s="109"/>
      <c r="E129" s="109"/>
      <c r="F129" s="109"/>
      <c r="G129" s="109"/>
      <c r="H129" s="109"/>
    </row>
    <row r="130" spans="1:8" ht="18" customHeight="1" x14ac:dyDescent="0.3">
      <c r="A130" s="11" t="s">
        <v>231</v>
      </c>
      <c r="B130" s="141">
        <f>B11</f>
        <v>180000</v>
      </c>
      <c r="C130" s="33" t="s">
        <v>80</v>
      </c>
      <c r="D130" s="109"/>
      <c r="E130" s="109"/>
      <c r="F130" s="109"/>
      <c r="G130" s="109"/>
      <c r="H130" s="109"/>
    </row>
    <row r="131" spans="1:8" ht="18" customHeight="1" x14ac:dyDescent="0.3">
      <c r="A131" s="11" t="s">
        <v>232</v>
      </c>
      <c r="B131" s="141">
        <f>B7</f>
        <v>680</v>
      </c>
      <c r="C131" s="33" t="s">
        <v>41</v>
      </c>
      <c r="D131" s="109"/>
      <c r="E131" s="109"/>
      <c r="F131" s="109"/>
      <c r="G131" s="109"/>
      <c r="H131" s="109"/>
    </row>
    <row r="132" spans="1:8" ht="18" customHeight="1" x14ac:dyDescent="0.3">
      <c r="A132" s="11" t="s">
        <v>122</v>
      </c>
      <c r="B132" s="141">
        <f>B6</f>
        <v>2900</v>
      </c>
      <c r="C132" s="33" t="s">
        <v>39</v>
      </c>
      <c r="D132" s="109"/>
      <c r="E132" s="109"/>
      <c r="F132" s="109"/>
      <c r="G132" s="109"/>
      <c r="H132" s="109"/>
    </row>
    <row r="133" spans="1:8" ht="9.75" customHeight="1" x14ac:dyDescent="0.3"/>
    <row r="134" spans="1:8" ht="21.75" customHeight="1" x14ac:dyDescent="0.3">
      <c r="A134" s="221" t="s">
        <v>233</v>
      </c>
      <c r="B134" s="221"/>
      <c r="C134" s="221"/>
      <c r="D134" s="221"/>
      <c r="E134" s="221"/>
      <c r="F134" s="221"/>
      <c r="G134" s="221"/>
      <c r="H134" s="221"/>
    </row>
    <row r="135" spans="1:8" ht="21.75" customHeight="1" x14ac:dyDescent="0.3">
      <c r="A135" s="1" t="s">
        <v>234</v>
      </c>
      <c r="B135" s="91" t="s">
        <v>158</v>
      </c>
      <c r="C135" s="91" t="s">
        <v>159</v>
      </c>
      <c r="D135" s="91" t="s">
        <v>160</v>
      </c>
      <c r="E135" s="91" t="s">
        <v>161</v>
      </c>
      <c r="F135" s="91" t="s">
        <v>162</v>
      </c>
      <c r="G135" s="91" t="s">
        <v>163</v>
      </c>
      <c r="H135" s="142" t="s">
        <v>164</v>
      </c>
    </row>
    <row r="136" spans="1:8" ht="19.5" customHeight="1" x14ac:dyDescent="0.3">
      <c r="A136" s="11" t="s">
        <v>235</v>
      </c>
      <c r="B136" s="143">
        <f>B14</f>
        <v>900000</v>
      </c>
      <c r="C136" s="144">
        <f>IFERROR(B136*(1+B117),"")</f>
        <v>963000</v>
      </c>
      <c r="D136" s="144">
        <f>IFERROR(C136*(1+B117),"")</f>
        <v>1030410.0000000001</v>
      </c>
      <c r="E136" s="144">
        <f>IFERROR(D136*(1+B117),"")</f>
        <v>1102538.7000000002</v>
      </c>
      <c r="F136" s="144">
        <f>IFERROR(E136*(1+B118),"")</f>
        <v>1157665.6350000002</v>
      </c>
      <c r="G136" s="144">
        <f>IFERROR(F136*(1+B118),"")</f>
        <v>1215548.9167500003</v>
      </c>
      <c r="H136" s="145"/>
    </row>
    <row r="137" spans="1:8" ht="19.5" customHeight="1" x14ac:dyDescent="0.3">
      <c r="A137" s="11" t="s">
        <v>236</v>
      </c>
      <c r="B137" s="143">
        <f>B15</f>
        <v>180000</v>
      </c>
      <c r="C137" s="144">
        <f>IFERROR(C136*B120,"")</f>
        <v>192600</v>
      </c>
      <c r="D137" s="144">
        <f>IFERROR(D136*B120,"")</f>
        <v>206082.00000000003</v>
      </c>
      <c r="E137" s="144">
        <f>IFERROR(E136*B120,"")</f>
        <v>220507.74000000005</v>
      </c>
      <c r="F137" s="144">
        <f>IFERROR(F136*B120,"")</f>
        <v>231533.12700000007</v>
      </c>
      <c r="G137" s="144">
        <f>IFERROR(G136*B120,"")</f>
        <v>243109.78335000007</v>
      </c>
      <c r="H137" s="145"/>
    </row>
    <row r="138" spans="1:8" ht="18" customHeight="1" x14ac:dyDescent="0.3">
      <c r="A138" s="33" t="s">
        <v>237</v>
      </c>
      <c r="B138" s="146">
        <f t="shared" ref="B138:G138" si="0">IFERROR(B137/B136,"")</f>
        <v>0.2</v>
      </c>
      <c r="C138" s="146">
        <f t="shared" si="0"/>
        <v>0.2</v>
      </c>
      <c r="D138" s="146">
        <f t="shared" si="0"/>
        <v>0.2</v>
      </c>
      <c r="E138" s="146">
        <f t="shared" si="0"/>
        <v>0.2</v>
      </c>
      <c r="F138" s="146">
        <f t="shared" si="0"/>
        <v>0.2</v>
      </c>
      <c r="G138" s="146">
        <f t="shared" si="0"/>
        <v>0.2</v>
      </c>
      <c r="H138" s="146"/>
    </row>
    <row r="139" spans="1:8" ht="19.5" customHeight="1" x14ac:dyDescent="0.3">
      <c r="A139" s="11" t="s">
        <v>238</v>
      </c>
      <c r="B139" s="144">
        <f>IFERROR(B136*B122,"")</f>
        <v>45000</v>
      </c>
      <c r="C139" s="144">
        <f>IFERROR(C136*B122,"")</f>
        <v>48150</v>
      </c>
      <c r="D139" s="144">
        <f>IFERROR(D136*B122,"")</f>
        <v>51520.500000000007</v>
      </c>
      <c r="E139" s="144">
        <f>IFERROR(E136*B122,"")</f>
        <v>55126.935000000012</v>
      </c>
      <c r="F139" s="144">
        <f>IFERROR(F136*B122,"")</f>
        <v>57883.281750000016</v>
      </c>
      <c r="G139" s="144">
        <f>IFERROR(G136*B122,"")</f>
        <v>60777.445837500018</v>
      </c>
      <c r="H139" s="145"/>
    </row>
    <row r="140" spans="1:8" ht="19.5" customHeight="1" x14ac:dyDescent="0.3">
      <c r="A140" s="16" t="s">
        <v>239</v>
      </c>
      <c r="B140" s="30">
        <f t="shared" ref="B140:G140" si="1">IFERROR(B137-B139,"")</f>
        <v>135000</v>
      </c>
      <c r="C140" s="30">
        <f t="shared" si="1"/>
        <v>144450</v>
      </c>
      <c r="D140" s="30">
        <f t="shared" si="1"/>
        <v>154561.50000000003</v>
      </c>
      <c r="E140" s="30">
        <f t="shared" si="1"/>
        <v>165380.80500000005</v>
      </c>
      <c r="F140" s="30">
        <f t="shared" si="1"/>
        <v>173649.84525000004</v>
      </c>
      <c r="G140" s="30">
        <f t="shared" si="1"/>
        <v>182332.33751250006</v>
      </c>
      <c r="H140" s="145"/>
    </row>
    <row r="141" spans="1:8" ht="19.5" customHeight="1" x14ac:dyDescent="0.3">
      <c r="A141" s="16" t="s">
        <v>240</v>
      </c>
      <c r="B141" s="30">
        <f>IFERROR(B140*B121,"")</f>
        <v>33750</v>
      </c>
      <c r="C141" s="30">
        <f>IFERROR(C140*B121,"")</f>
        <v>36112.5</v>
      </c>
      <c r="D141" s="30">
        <f>IFERROR(D140*B121,"")</f>
        <v>38640.375000000007</v>
      </c>
      <c r="E141" s="30">
        <f>IFERROR(E140*B121,"")</f>
        <v>41345.201250000013</v>
      </c>
      <c r="F141" s="30">
        <f>IFERROR(F140*B121,"")</f>
        <v>43412.461312500011</v>
      </c>
      <c r="G141" s="30">
        <f>IFERROR(G140*B121,"")</f>
        <v>45583.084378125015</v>
      </c>
      <c r="H141" s="145"/>
    </row>
    <row r="142" spans="1:8" ht="19.5" customHeight="1" x14ac:dyDescent="0.3">
      <c r="A142" s="34" t="s">
        <v>241</v>
      </c>
      <c r="B142" s="147">
        <f t="shared" ref="B142:G142" si="2">IFERROR(B140-B141,"")</f>
        <v>101250</v>
      </c>
      <c r="C142" s="147">
        <f t="shared" si="2"/>
        <v>108337.5</v>
      </c>
      <c r="D142" s="147">
        <f t="shared" si="2"/>
        <v>115921.12500000003</v>
      </c>
      <c r="E142" s="147">
        <f t="shared" si="2"/>
        <v>124035.60375000004</v>
      </c>
      <c r="F142" s="147">
        <f t="shared" si="2"/>
        <v>130237.38393750004</v>
      </c>
      <c r="G142" s="147">
        <f t="shared" si="2"/>
        <v>136749.25313437503</v>
      </c>
      <c r="H142" s="93"/>
    </row>
    <row r="143" spans="1:8" ht="19.5" customHeight="1" x14ac:dyDescent="0.3">
      <c r="A143" s="148" t="s">
        <v>242</v>
      </c>
      <c r="B143" s="145">
        <f>IFERROR(-B136*B123,"")</f>
        <v>-54000</v>
      </c>
      <c r="C143" s="145">
        <f>IFERROR(-C136*B123,"")</f>
        <v>-57780</v>
      </c>
      <c r="D143" s="145">
        <f>IFERROR(-D136*B123,"")</f>
        <v>-61824.600000000006</v>
      </c>
      <c r="E143" s="145">
        <f>IFERROR(-E136*B123,"")</f>
        <v>-66152.322000000015</v>
      </c>
      <c r="F143" s="145">
        <f>IFERROR(-F136*B123,"")</f>
        <v>-69459.938100000014</v>
      </c>
      <c r="G143" s="145">
        <f>IFERROR(-G136*B123,"")</f>
        <v>-72932.935005000021</v>
      </c>
      <c r="H143" s="145"/>
    </row>
    <row r="144" spans="1:8" ht="19.5" customHeight="1" x14ac:dyDescent="0.3">
      <c r="A144" s="148" t="s">
        <v>243</v>
      </c>
      <c r="B144" s="145">
        <f>IFERROR(-B136*B124,"")</f>
        <v>-9000</v>
      </c>
      <c r="C144" s="145">
        <f>IFERROR(-C136*B124,"")</f>
        <v>-9630</v>
      </c>
      <c r="D144" s="145">
        <f>IFERROR(-D136*B124,"")</f>
        <v>-10304.100000000002</v>
      </c>
      <c r="E144" s="145">
        <f>IFERROR(-E136*B124,"")</f>
        <v>-11025.387000000002</v>
      </c>
      <c r="F144" s="145">
        <f>IFERROR(-F136*B124,"")</f>
        <v>-11576.656350000003</v>
      </c>
      <c r="G144" s="145">
        <f>IFERROR(-G136*B124,"")</f>
        <v>-12155.489167500004</v>
      </c>
      <c r="H144" s="145"/>
    </row>
    <row r="145" spans="1:8" ht="19.5" customHeight="1" x14ac:dyDescent="0.3">
      <c r="A145" s="148" t="s">
        <v>244</v>
      </c>
      <c r="B145" s="145">
        <f t="shared" ref="B145:G145" si="3">IFERROR(B139,"")</f>
        <v>45000</v>
      </c>
      <c r="C145" s="145">
        <f t="shared" si="3"/>
        <v>48150</v>
      </c>
      <c r="D145" s="145">
        <f t="shared" si="3"/>
        <v>51520.500000000007</v>
      </c>
      <c r="E145" s="145">
        <f t="shared" si="3"/>
        <v>55126.935000000012</v>
      </c>
      <c r="F145" s="145">
        <f t="shared" si="3"/>
        <v>57883.281750000016</v>
      </c>
      <c r="G145" s="145">
        <f t="shared" si="3"/>
        <v>60777.445837500018</v>
      </c>
      <c r="H145" s="145"/>
    </row>
    <row r="146" spans="1:8" ht="24" customHeight="1" x14ac:dyDescent="0.3">
      <c r="A146" s="23" t="s">
        <v>245</v>
      </c>
      <c r="B146" s="149"/>
      <c r="C146" s="95">
        <f t="shared" ref="C146:G146" si="4">IFERROR(C142+C145+C143+C144,"")</f>
        <v>89077.5</v>
      </c>
      <c r="D146" s="95">
        <f t="shared" si="4"/>
        <v>95312.925000000017</v>
      </c>
      <c r="E146" s="95">
        <f t="shared" si="4"/>
        <v>101984.82975000005</v>
      </c>
      <c r="F146" s="95">
        <f t="shared" si="4"/>
        <v>107084.07123750004</v>
      </c>
      <c r="G146" s="95">
        <f t="shared" si="4"/>
        <v>112438.27479937501</v>
      </c>
      <c r="H146" s="93"/>
    </row>
    <row r="147" spans="1:8" ht="4.5" customHeight="1" x14ac:dyDescent="0.3"/>
    <row r="148" spans="1:8" ht="19.5" customHeight="1" x14ac:dyDescent="0.3">
      <c r="A148" s="150" t="s">
        <v>246</v>
      </c>
      <c r="B148" s="151"/>
      <c r="C148" s="151"/>
      <c r="D148" s="151"/>
      <c r="E148" s="151"/>
      <c r="F148" s="151"/>
      <c r="G148" s="151"/>
      <c r="H148" s="152">
        <f>IFERROR(G146*(1+B119)/(B116-B119),"")</f>
        <v>1654448.9006193751</v>
      </c>
    </row>
    <row r="149" spans="1:8" ht="18" customHeight="1" x14ac:dyDescent="0.3">
      <c r="A149" s="36" t="s">
        <v>247</v>
      </c>
      <c r="B149" s="153" t="s">
        <v>248</v>
      </c>
      <c r="C149" s="154">
        <f>IFERROR(1/(1+B116)^1,"")</f>
        <v>0.90909090909090906</v>
      </c>
      <c r="D149" s="154">
        <f>IFERROR(1/(1+B116)^2,"")</f>
        <v>0.82644628099173545</v>
      </c>
      <c r="E149" s="154">
        <f>IFERROR(1/(1+B116)^3,"")</f>
        <v>0.75131480090157754</v>
      </c>
      <c r="F149" s="154">
        <f>IFERROR(1/(1+B116)^4,"")</f>
        <v>0.68301345536507052</v>
      </c>
      <c r="G149" s="154">
        <f>IFERROR(1/(1+B116)^5,"")</f>
        <v>0.62092132305915493</v>
      </c>
      <c r="H149" s="155">
        <f>IFERROR(1/(1+B116)^5,"")</f>
        <v>0.62092132305915493</v>
      </c>
    </row>
    <row r="150" spans="1:8" ht="19.5" customHeight="1" x14ac:dyDescent="0.3">
      <c r="A150" s="23" t="s">
        <v>249</v>
      </c>
      <c r="B150" s="156" t="s">
        <v>248</v>
      </c>
      <c r="C150" s="95">
        <f>IFERROR(C146*C149,"")</f>
        <v>80979.545454545456</v>
      </c>
      <c r="D150" s="95">
        <f>IFERROR(D146*D149,"")</f>
        <v>78771.012396694219</v>
      </c>
      <c r="E150" s="95">
        <f>IFERROR(E146*E149,"")</f>
        <v>76622.71205860257</v>
      </c>
      <c r="F150" s="95">
        <f>IFERROR(F146*F149,"")</f>
        <v>73139.861510484261</v>
      </c>
      <c r="G150" s="95">
        <f>IFERROR(G146*G149,"")</f>
        <v>69815.322350916773</v>
      </c>
      <c r="H150" s="93">
        <f>IFERROR(H148*H149,"")</f>
        <v>1027282.6003063467</v>
      </c>
    </row>
    <row r="151" spans="1:8" ht="4.5" customHeight="1" x14ac:dyDescent="0.3"/>
    <row r="152" spans="1:8" ht="25.5" customHeight="1" x14ac:dyDescent="0.3">
      <c r="A152" s="157" t="s">
        <v>250</v>
      </c>
      <c r="B152" s="158">
        <f>IFERROR(C150+D150+E150+F150+G150+H150,"")</f>
        <v>1406611.0540775899</v>
      </c>
      <c r="C152" s="159" t="s">
        <v>80</v>
      </c>
      <c r="D152" s="160"/>
      <c r="E152" s="160"/>
      <c r="F152" s="160"/>
      <c r="G152" s="160"/>
      <c r="H152" s="160"/>
    </row>
    <row r="153" spans="1:8" ht="19.5" customHeight="1" x14ac:dyDescent="0.3">
      <c r="A153" s="161" t="s">
        <v>251</v>
      </c>
      <c r="B153" s="162">
        <f>IFERROR(B152-B10+B11,"")</f>
        <v>1236611.0540775899</v>
      </c>
      <c r="C153" s="163" t="s">
        <v>80</v>
      </c>
      <c r="D153" s="149"/>
      <c r="E153" s="149"/>
      <c r="F153" s="149"/>
      <c r="G153" s="149"/>
      <c r="H153" s="149"/>
    </row>
    <row r="154" spans="1:8" ht="30" customHeight="1" x14ac:dyDescent="0.3">
      <c r="A154" s="164" t="s">
        <v>252</v>
      </c>
      <c r="B154" s="165">
        <f>IFERROR(B153/B7,"")</f>
        <v>1818.5456677611617</v>
      </c>
      <c r="C154" s="166" t="s">
        <v>39</v>
      </c>
      <c r="D154" s="167"/>
      <c r="E154" s="167"/>
      <c r="F154" s="167"/>
      <c r="G154" s="167"/>
      <c r="H154" s="167"/>
    </row>
    <row r="155" spans="1:8" ht="19.5" customHeight="1" x14ac:dyDescent="0.3">
      <c r="A155" s="19" t="s">
        <v>253</v>
      </c>
      <c r="B155" s="168">
        <f>IFERROR((B154-B6)/B6,"")</f>
        <v>-0.37291528697890974</v>
      </c>
      <c r="C155" s="169" t="s">
        <v>47</v>
      </c>
      <c r="D155" s="170"/>
      <c r="E155" s="170"/>
      <c r="F155" s="170"/>
      <c r="G155" s="170"/>
      <c r="H155" s="170"/>
    </row>
    <row r="156" spans="1:8" ht="9.75" customHeight="1" x14ac:dyDescent="0.3"/>
    <row r="157" spans="1:8" ht="21.75" customHeight="1" x14ac:dyDescent="0.3">
      <c r="A157" s="220" t="s">
        <v>254</v>
      </c>
      <c r="B157" s="220"/>
      <c r="C157" s="220"/>
      <c r="D157" s="220"/>
      <c r="E157" s="220"/>
      <c r="F157" s="220"/>
      <c r="G157" s="220"/>
      <c r="H157" s="220"/>
    </row>
    <row r="158" spans="1:8" ht="19.5" customHeight="1" x14ac:dyDescent="0.3">
      <c r="A158" s="171" t="s">
        <v>255</v>
      </c>
      <c r="B158" s="218" t="s">
        <v>256</v>
      </c>
      <c r="C158" s="218"/>
      <c r="D158" s="218"/>
      <c r="E158" s="218"/>
      <c r="F158" s="218"/>
      <c r="G158" s="218"/>
      <c r="H158" s="218"/>
    </row>
    <row r="159" spans="1:8" ht="19.5" customHeight="1" x14ac:dyDescent="0.3">
      <c r="A159" s="171" t="s">
        <v>257</v>
      </c>
      <c r="B159" s="218" t="s">
        <v>258</v>
      </c>
      <c r="C159" s="218"/>
      <c r="D159" s="218"/>
      <c r="E159" s="218"/>
      <c r="F159" s="218"/>
      <c r="G159" s="218"/>
      <c r="H159" s="218"/>
    </row>
    <row r="160" spans="1:8" ht="19.5" customHeight="1" x14ac:dyDescent="0.3">
      <c r="A160" s="171" t="s">
        <v>259</v>
      </c>
      <c r="B160" s="218" t="s">
        <v>260</v>
      </c>
      <c r="C160" s="218"/>
      <c r="D160" s="218"/>
      <c r="E160" s="218"/>
      <c r="F160" s="218"/>
      <c r="G160" s="218"/>
      <c r="H160" s="218"/>
    </row>
    <row r="161" spans="1:8" ht="19.5" customHeight="1" x14ac:dyDescent="0.3">
      <c r="A161" s="171" t="s">
        <v>261</v>
      </c>
      <c r="B161" s="218" t="s">
        <v>262</v>
      </c>
      <c r="C161" s="218"/>
      <c r="D161" s="218"/>
      <c r="E161" s="218"/>
      <c r="F161" s="218"/>
      <c r="G161" s="218"/>
      <c r="H161" s="218"/>
    </row>
    <row r="162" spans="1:8" ht="19.5" customHeight="1" x14ac:dyDescent="0.3">
      <c r="A162" s="171" t="s">
        <v>263</v>
      </c>
      <c r="B162" s="218" t="s">
        <v>264</v>
      </c>
      <c r="C162" s="218"/>
      <c r="D162" s="218"/>
      <c r="E162" s="218"/>
      <c r="F162" s="218"/>
      <c r="G162" s="218"/>
      <c r="H162" s="218"/>
    </row>
    <row r="163" spans="1:8" ht="19.5" customHeight="1" x14ac:dyDescent="0.3">
      <c r="A163" s="171" t="s">
        <v>265</v>
      </c>
      <c r="B163" s="218" t="s">
        <v>302</v>
      </c>
      <c r="C163" s="218"/>
      <c r="D163" s="218"/>
      <c r="E163" s="218"/>
      <c r="F163" s="218"/>
      <c r="G163" s="218"/>
      <c r="H163" s="218"/>
    </row>
    <row r="164" spans="1:8" ht="7.5" customHeight="1" x14ac:dyDescent="0.3"/>
    <row r="165" spans="1:8" ht="36" customHeight="1" x14ac:dyDescent="0.3">
      <c r="A165" s="219" t="s">
        <v>267</v>
      </c>
      <c r="B165" s="219"/>
      <c r="C165" s="219"/>
      <c r="D165" s="219"/>
      <c r="E165" s="219"/>
      <c r="F165" s="219"/>
      <c r="G165" s="219"/>
      <c r="H165" s="219"/>
    </row>
  </sheetData>
  <mergeCells count="38">
    <mergeCell ref="A1:C1"/>
    <mergeCell ref="A2:C2"/>
    <mergeCell ref="A4:C4"/>
    <mergeCell ref="A13:C13"/>
    <mergeCell ref="A18:C18"/>
    <mergeCell ref="A23:C23"/>
    <mergeCell ref="A27:C27"/>
    <mergeCell ref="A31:C31"/>
    <mergeCell ref="A35:C35"/>
    <mergeCell ref="A44:C44"/>
    <mergeCell ref="A51:C51"/>
    <mergeCell ref="A52:C52"/>
    <mergeCell ref="A54:C54"/>
    <mergeCell ref="A59:C59"/>
    <mergeCell ref="A65:C65"/>
    <mergeCell ref="A70:C70"/>
    <mergeCell ref="A74:C74"/>
    <mergeCell ref="A77:C77"/>
    <mergeCell ref="A78:C78"/>
    <mergeCell ref="A80:C80"/>
    <mergeCell ref="A84:C84"/>
    <mergeCell ref="A96:C96"/>
    <mergeCell ref="A100:C100"/>
    <mergeCell ref="A109:C109"/>
    <mergeCell ref="A112:H112"/>
    <mergeCell ref="B163:H163"/>
    <mergeCell ref="A165:H165"/>
    <mergeCell ref="A94:C94"/>
    <mergeCell ref="B158:H158"/>
    <mergeCell ref="B159:H159"/>
    <mergeCell ref="B160:H160"/>
    <mergeCell ref="B161:H161"/>
    <mergeCell ref="B162:H162"/>
    <mergeCell ref="A113:H113"/>
    <mergeCell ref="A115:H115"/>
    <mergeCell ref="A126:H126"/>
    <mergeCell ref="A134:H134"/>
    <mergeCell ref="A157:H157"/>
  </mergeCells>
  <conditionalFormatting sqref="B57">
    <cfRule type="expression" dxfId="191" priority="2">
      <formula>B42&gt;0.2</formula>
    </cfRule>
    <cfRule type="expression" dxfId="190" priority="3">
      <formula>AND(B42&gt;0.1,B42&lt;=0.2)</formula>
    </cfRule>
    <cfRule type="expression" dxfId="189" priority="4">
      <formula>AND(B42&gt;=-0.1,B42&lt;=0.1)</formula>
    </cfRule>
    <cfRule type="expression" dxfId="188" priority="5">
      <formula>AND(B42&gt;=-0.2,B42&lt;-0.1)</formula>
    </cfRule>
    <cfRule type="expression" dxfId="187" priority="6">
      <formula>B42&lt;-0.2</formula>
    </cfRule>
  </conditionalFormatting>
  <conditionalFormatting sqref="B60">
    <cfRule type="expression" dxfId="186" priority="7">
      <formula>B25&gt;0.2</formula>
    </cfRule>
    <cfRule type="expression" dxfId="185" priority="8">
      <formula>AND(B25&gt;0.1,B25&lt;=0.2)</formula>
    </cfRule>
    <cfRule type="expression" dxfId="184" priority="9">
      <formula>AND(B25&gt;=-0.1,B25&lt;=0.1)</formula>
    </cfRule>
    <cfRule type="expression" dxfId="183" priority="10">
      <formula>AND(B25&gt;=-0.2,B25&lt;-0.1)</formula>
    </cfRule>
    <cfRule type="expression" dxfId="182" priority="11">
      <formula>B25&lt;-0.2</formula>
    </cfRule>
  </conditionalFormatting>
  <conditionalFormatting sqref="B61:B62">
    <cfRule type="expression" dxfId="181" priority="12">
      <formula>B29&gt;0.2</formula>
    </cfRule>
    <cfRule type="expression" dxfId="180" priority="13">
      <formula>AND(B29&gt;0.1,B29&lt;=0.2)</formula>
    </cfRule>
    <cfRule type="expression" dxfId="179" priority="14">
      <formula>AND(B29&gt;=-0.1,B29&lt;=0.1)</formula>
    </cfRule>
    <cfRule type="expression" dxfId="178" priority="15">
      <formula>AND(B29&gt;=-0.2,B29&lt;-0.1)</formula>
    </cfRule>
    <cfRule type="expression" dxfId="177" priority="16">
      <formula>B29&lt;-0.2</formula>
    </cfRule>
  </conditionalFormatting>
  <conditionalFormatting sqref="B63">
    <cfRule type="expression" dxfId="176" priority="17">
      <formula>B33&gt;0.2</formula>
    </cfRule>
    <cfRule type="expression" dxfId="175" priority="18">
      <formula>AND(B33&gt;0.1,B33&lt;=0.2)</formula>
    </cfRule>
    <cfRule type="expression" dxfId="174" priority="19">
      <formula>AND(B33&gt;=-0.1,B33&lt;=0.1)</formula>
    </cfRule>
    <cfRule type="expression" dxfId="173" priority="20">
      <formula>AND(B33&gt;=-0.2,B33&lt;-0.1)</formula>
    </cfRule>
    <cfRule type="expression" dxfId="172" priority="21">
      <formula>B33&lt;-0.2</formula>
    </cfRule>
  </conditionalFormatting>
  <conditionalFormatting sqref="B71">
    <cfRule type="expression" dxfId="171" priority="22">
      <formula>B42&gt;0.2</formula>
    </cfRule>
    <cfRule type="expression" dxfId="170" priority="23">
      <formula>AND(B42&gt;0.1,B42&lt;=0.2)</formula>
    </cfRule>
    <cfRule type="expression" dxfId="169" priority="24">
      <formula>AND(B42&gt;=-0.1,B42&lt;=0.1)</formula>
    </cfRule>
    <cfRule type="expression" dxfId="168" priority="25">
      <formula>AND(B42&gt;=-0.2,B42&lt;-0.1)</formula>
    </cfRule>
    <cfRule type="expression" dxfId="167" priority="26">
      <formula>B42&lt;-0.2</formula>
    </cfRule>
  </conditionalFormatting>
  <conditionalFormatting sqref="B72">
    <cfRule type="expression" dxfId="166" priority="27">
      <formula>B42&gt;0.2</formula>
    </cfRule>
    <cfRule type="expression" dxfId="165" priority="28">
      <formula>AND(B42&gt;0.1,B42&lt;=0.2)</formula>
    </cfRule>
    <cfRule type="expression" dxfId="164" priority="29">
      <formula>AND(B42&gt;=-0.1,B42&lt;=0.1)</formula>
    </cfRule>
    <cfRule type="expression" dxfId="163" priority="30">
      <formula>AND(B42&gt;=-0.2,B42&lt;-0.1)</formula>
    </cfRule>
    <cfRule type="expression" dxfId="162" priority="31">
      <formula>B42&lt;-0.2</formula>
    </cfRule>
  </conditionalFormatting>
  <conditionalFormatting sqref="B98">
    <cfRule type="expression" dxfId="161" priority="70">
      <formula>B6&gt;B41*1.15</formula>
    </cfRule>
    <cfRule type="expression" dxfId="160" priority="65">
      <formula>B6&lt;=B41*(1-B81*1.5)</formula>
    </cfRule>
    <cfRule type="expression" dxfId="159" priority="66">
      <formula>AND(B6&gt;B41*(1-B81*1.5),B6&lt;=B41*(1-B81))</formula>
    </cfRule>
    <cfRule type="expression" dxfId="158" priority="67">
      <formula>AND(B6&gt;B41*(1-B81),B6&lt;=B41*(1-B81*0.5))</formula>
    </cfRule>
    <cfRule type="expression" dxfId="157" priority="68">
      <formula>AND(B6&gt;B41*(1-B81*0.5),B6&lt;=B41)</formula>
    </cfRule>
    <cfRule type="expression" dxfId="156" priority="69">
      <formula>AND(B6&gt;B41,B6&lt;=B41*1.15)</formula>
    </cfRule>
  </conditionalFormatting>
  <conditionalFormatting sqref="C86">
    <cfRule type="expression" dxfId="155" priority="71">
      <formula>B6&lt;B86</formula>
    </cfRule>
    <cfRule type="expression" dxfId="154" priority="72">
      <formula>B6&gt;=B86</formula>
    </cfRule>
  </conditionalFormatting>
  <conditionalFormatting sqref="C87">
    <cfRule type="expression" dxfId="153" priority="73">
      <formula>B6&lt;B87</formula>
    </cfRule>
    <cfRule type="expression" dxfId="152" priority="74">
      <formula>B6&gt;=B87</formula>
    </cfRule>
  </conditionalFormatting>
  <conditionalFormatting sqref="C88">
    <cfRule type="expression" dxfId="151" priority="76">
      <formula>B6&gt;=B88</formula>
    </cfRule>
    <cfRule type="expression" dxfId="150" priority="75">
      <formula>B6&lt;B88</formula>
    </cfRule>
  </conditionalFormatting>
  <conditionalFormatting sqref="C89">
    <cfRule type="expression" dxfId="149" priority="32">
      <formula>B6&lt;B89</formula>
    </cfRule>
    <cfRule type="expression" dxfId="148" priority="33">
      <formula>B6&gt;=B89</formula>
    </cfRule>
  </conditionalFormatting>
  <conditionalFormatting sqref="C90">
    <cfRule type="expression" dxfId="147" priority="34">
      <formula>B6&lt;B90</formula>
    </cfRule>
    <cfRule type="expression" dxfId="146" priority="35">
      <formula>B6&gt;=B90</formula>
    </cfRule>
  </conditionalFormatting>
  <conditionalFormatting sqref="C91">
    <cfRule type="expression" dxfId="145" priority="36">
      <formula>B6&lt;B91</formula>
    </cfRule>
    <cfRule type="expression" dxfId="144" priority="37">
      <formula>B6&gt;=B91</formula>
    </cfRule>
  </conditionalFormatting>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4"/>
  <sheetViews>
    <sheetView showGridLines="0" topLeftCell="A86" zoomScaleNormal="100" workbookViewId="0">
      <selection activeCell="A93" sqref="A93:C93"/>
    </sheetView>
  </sheetViews>
  <sheetFormatPr defaultColWidth="8.6640625" defaultRowHeight="14.4" x14ac:dyDescent="0.3"/>
  <cols>
    <col min="1" max="1" width="78.33203125" customWidth="1"/>
    <col min="2" max="2" width="30.21875" customWidth="1"/>
    <col min="3" max="3" width="29" customWidth="1"/>
    <col min="4" max="7" width="13" customWidth="1"/>
    <col min="8" max="8" width="14" customWidth="1"/>
  </cols>
  <sheetData>
    <row r="1" spans="1:3" ht="31.5" customHeight="1" x14ac:dyDescent="0.3">
      <c r="A1" s="206" t="s">
        <v>303</v>
      </c>
      <c r="B1" s="206"/>
      <c r="C1" s="206"/>
    </row>
    <row r="2" spans="1:3" ht="27.75" customHeight="1" x14ac:dyDescent="0.3">
      <c r="A2" s="207" t="s">
        <v>304</v>
      </c>
      <c r="B2" s="207"/>
      <c r="C2" s="207"/>
    </row>
    <row r="3" spans="1:3" ht="7.5" customHeight="1" x14ac:dyDescent="0.3"/>
    <row r="4" spans="1:3" ht="19.5" customHeight="1" x14ac:dyDescent="0.3">
      <c r="A4" s="208" t="s">
        <v>35</v>
      </c>
      <c r="B4" s="208"/>
      <c r="C4" s="208"/>
    </row>
    <row r="5" spans="1:3" ht="18" customHeight="1" x14ac:dyDescent="0.3">
      <c r="A5" s="179" t="s">
        <v>36</v>
      </c>
      <c r="B5" s="180" t="s">
        <v>305</v>
      </c>
      <c r="C5" s="181"/>
    </row>
    <row r="6" spans="1:3" ht="18" customHeight="1" x14ac:dyDescent="0.3">
      <c r="A6" s="179" t="s">
        <v>38</v>
      </c>
      <c r="B6" s="182">
        <v>3600</v>
      </c>
      <c r="C6" s="181" t="s">
        <v>39</v>
      </c>
    </row>
    <row r="7" spans="1:3" ht="18" customHeight="1" x14ac:dyDescent="0.3">
      <c r="A7" s="179" t="s">
        <v>40</v>
      </c>
      <c r="B7" s="183">
        <v>140</v>
      </c>
      <c r="C7" s="181" t="s">
        <v>41</v>
      </c>
    </row>
    <row r="8" spans="1:3" ht="18" customHeight="1" x14ac:dyDescent="0.3">
      <c r="A8" s="179" t="s">
        <v>42</v>
      </c>
      <c r="B8" s="182">
        <v>750</v>
      </c>
      <c r="C8" s="181" t="s">
        <v>39</v>
      </c>
    </row>
    <row r="9" spans="1:3" ht="18" customHeight="1" x14ac:dyDescent="0.3">
      <c r="A9" s="179" t="s">
        <v>306</v>
      </c>
      <c r="B9" s="182">
        <v>600</v>
      </c>
      <c r="C9" s="181" t="s">
        <v>39</v>
      </c>
    </row>
    <row r="10" spans="1:3" ht="18" customHeight="1" x14ac:dyDescent="0.3">
      <c r="A10" s="179" t="s">
        <v>143</v>
      </c>
      <c r="B10" s="182">
        <v>95</v>
      </c>
      <c r="C10" s="181" t="s">
        <v>39</v>
      </c>
    </row>
    <row r="11" spans="1:3" ht="18" customHeight="1" x14ac:dyDescent="0.3">
      <c r="A11" s="179" t="s">
        <v>146</v>
      </c>
      <c r="B11" s="183">
        <v>80000</v>
      </c>
      <c r="C11" s="181" t="s">
        <v>80</v>
      </c>
    </row>
    <row r="12" spans="1:3" ht="18" customHeight="1" x14ac:dyDescent="0.3">
      <c r="A12" s="179" t="s">
        <v>147</v>
      </c>
      <c r="B12" s="183">
        <v>20000</v>
      </c>
      <c r="C12" s="181" t="s">
        <v>80</v>
      </c>
    </row>
    <row r="13" spans="1:3" ht="7.5" customHeight="1" x14ac:dyDescent="0.3"/>
    <row r="14" spans="1:3" ht="19.5" customHeight="1" x14ac:dyDescent="0.3">
      <c r="A14" s="208" t="s">
        <v>45</v>
      </c>
      <c r="B14" s="208"/>
      <c r="C14" s="208"/>
    </row>
    <row r="15" spans="1:3" ht="18" customHeight="1" x14ac:dyDescent="0.3">
      <c r="A15" s="179" t="s">
        <v>145</v>
      </c>
      <c r="B15" s="183">
        <v>220000</v>
      </c>
      <c r="C15" s="181" t="s">
        <v>80</v>
      </c>
    </row>
    <row r="16" spans="1:3" ht="18" customHeight="1" x14ac:dyDescent="0.3">
      <c r="A16" s="179" t="s">
        <v>144</v>
      </c>
      <c r="B16" s="183">
        <v>30000</v>
      </c>
      <c r="C16" s="181" t="s">
        <v>80</v>
      </c>
    </row>
    <row r="17" spans="1:3" ht="7.5" customHeight="1" x14ac:dyDescent="0.3"/>
    <row r="18" spans="1:3" ht="19.5" customHeight="1" x14ac:dyDescent="0.3">
      <c r="A18" s="208" t="s">
        <v>54</v>
      </c>
      <c r="B18" s="208"/>
      <c r="C18" s="208"/>
    </row>
    <row r="19" spans="1:3" ht="18" customHeight="1" x14ac:dyDescent="0.3">
      <c r="A19" s="179" t="s">
        <v>178</v>
      </c>
      <c r="B19" s="192">
        <v>20</v>
      </c>
      <c r="C19" s="181" t="s">
        <v>60</v>
      </c>
    </row>
    <row r="20" spans="1:3" ht="18" customHeight="1" x14ac:dyDescent="0.3">
      <c r="A20" s="179" t="s">
        <v>307</v>
      </c>
      <c r="B20" s="192">
        <v>5</v>
      </c>
      <c r="C20" s="181" t="s">
        <v>60</v>
      </c>
    </row>
    <row r="21" spans="1:3" ht="18" customHeight="1" x14ac:dyDescent="0.3">
      <c r="A21" s="179" t="s">
        <v>308</v>
      </c>
      <c r="B21" s="191">
        <v>0.3</v>
      </c>
      <c r="C21" s="181" t="s">
        <v>47</v>
      </c>
    </row>
    <row r="22" spans="1:3" ht="7.5" customHeight="1" x14ac:dyDescent="0.3"/>
    <row r="23" spans="1:3" ht="19.5" customHeight="1" x14ac:dyDescent="0.3">
      <c r="A23" s="205" t="s">
        <v>208</v>
      </c>
      <c r="B23" s="205"/>
      <c r="C23" s="205"/>
    </row>
    <row r="24" spans="1:3" ht="18" customHeight="1" x14ac:dyDescent="0.3">
      <c r="A24" s="16" t="s">
        <v>209</v>
      </c>
      <c r="B24" s="17">
        <f>IFERROR((B19*B16-B11+B12)/B7,"")</f>
        <v>3857.1428571428573</v>
      </c>
      <c r="C24" s="18" t="s">
        <v>39</v>
      </c>
    </row>
    <row r="25" spans="1:3" ht="18" customHeight="1" x14ac:dyDescent="0.3">
      <c r="A25" s="19" t="s">
        <v>62</v>
      </c>
      <c r="B25" s="20">
        <f>IFERROR((B24-B6)/B6,"")</f>
        <v>7.142857142857148E-2</v>
      </c>
      <c r="C25" s="21" t="s">
        <v>47</v>
      </c>
    </row>
    <row r="26" spans="1:3" ht="7.5" customHeight="1" x14ac:dyDescent="0.3"/>
    <row r="27" spans="1:3" ht="19.5" customHeight="1" x14ac:dyDescent="0.3">
      <c r="A27" s="205" t="s">
        <v>309</v>
      </c>
      <c r="B27" s="205"/>
      <c r="C27" s="205"/>
    </row>
    <row r="28" spans="1:3" ht="18" customHeight="1" x14ac:dyDescent="0.3">
      <c r="A28" s="16" t="s">
        <v>61</v>
      </c>
      <c r="B28" s="17">
        <f>IFERROR(B20*B8,"")</f>
        <v>3750</v>
      </c>
      <c r="C28" s="18" t="s">
        <v>39</v>
      </c>
    </row>
    <row r="29" spans="1:3" ht="18" customHeight="1" x14ac:dyDescent="0.3">
      <c r="A29" s="19" t="s">
        <v>62</v>
      </c>
      <c r="B29" s="20">
        <f>IFERROR((B28-B6)/B6,"")</f>
        <v>4.1666666666666664E-2</v>
      </c>
      <c r="C29" s="21" t="s">
        <v>47</v>
      </c>
    </row>
    <row r="30" spans="1:3" ht="7.5" customHeight="1" x14ac:dyDescent="0.3"/>
    <row r="31" spans="1:3" ht="19.5" customHeight="1" x14ac:dyDescent="0.3">
      <c r="A31" s="205" t="s">
        <v>310</v>
      </c>
      <c r="B31" s="205"/>
      <c r="C31" s="205"/>
    </row>
    <row r="32" spans="1:3" ht="18" customHeight="1" x14ac:dyDescent="0.3">
      <c r="A32" s="16" t="s">
        <v>311</v>
      </c>
      <c r="B32" s="17">
        <f>IF(B9="","",IFERROR(B9*(1+B21),""))</f>
        <v>780</v>
      </c>
      <c r="C32" s="18" t="s">
        <v>39</v>
      </c>
    </row>
    <row r="33" spans="1:3" ht="18" customHeight="1" x14ac:dyDescent="0.3">
      <c r="A33" s="19" t="s">
        <v>62</v>
      </c>
      <c r="B33" s="20">
        <f>IFERROR((B32-B6)/B6,"")</f>
        <v>-0.78333333333333333</v>
      </c>
      <c r="C33" s="21" t="s">
        <v>47</v>
      </c>
    </row>
    <row r="34" spans="1:3" ht="7.5" customHeight="1" x14ac:dyDescent="0.3"/>
    <row r="35" spans="1:3" ht="19.5" customHeight="1" x14ac:dyDescent="0.3">
      <c r="A35" s="200" t="s">
        <v>71</v>
      </c>
      <c r="B35" s="200"/>
      <c r="C35" s="200"/>
    </row>
    <row r="36" spans="1:3" ht="19.5" customHeight="1" x14ac:dyDescent="0.3">
      <c r="A36" s="23" t="s">
        <v>38</v>
      </c>
      <c r="B36" s="24">
        <f>B6</f>
        <v>3600</v>
      </c>
      <c r="C36" s="25" t="s">
        <v>39</v>
      </c>
    </row>
    <row r="37" spans="1:3" ht="19.5" customHeight="1" x14ac:dyDescent="0.3">
      <c r="A37" s="23" t="s">
        <v>183</v>
      </c>
      <c r="B37" s="24">
        <f>IFERROR(B24,"")</f>
        <v>3857.1428571428573</v>
      </c>
      <c r="C37" s="25" t="s">
        <v>39</v>
      </c>
    </row>
    <row r="38" spans="1:3" ht="19.5" customHeight="1" x14ac:dyDescent="0.3">
      <c r="A38" s="23" t="s">
        <v>181</v>
      </c>
      <c r="B38" s="24">
        <f>B153</f>
        <v>1067.4581857195562</v>
      </c>
      <c r="C38" s="25" t="s">
        <v>39</v>
      </c>
    </row>
    <row r="39" spans="1:3" ht="19.5" customHeight="1" x14ac:dyDescent="0.3">
      <c r="A39" s="23" t="s">
        <v>312</v>
      </c>
      <c r="B39" s="24">
        <f>IFERROR(B28,"")</f>
        <v>3750</v>
      </c>
      <c r="C39" s="25" t="s">
        <v>39</v>
      </c>
    </row>
    <row r="40" spans="1:3" ht="19.5" customHeight="1" x14ac:dyDescent="0.3">
      <c r="A40" s="23" t="s">
        <v>313</v>
      </c>
      <c r="B40" s="24">
        <f>IFERROR(B32,"")</f>
        <v>780</v>
      </c>
      <c r="C40" s="25" t="s">
        <v>39</v>
      </c>
    </row>
    <row r="41" spans="1:3" ht="19.5" customHeight="1" x14ac:dyDescent="0.3">
      <c r="A41" s="139" t="s">
        <v>76</v>
      </c>
      <c r="B41" s="99">
        <f>IFERROR(AVERAGE(B37:B40),"")</f>
        <v>2363.6502607156035</v>
      </c>
      <c r="C41" s="28" t="s">
        <v>39</v>
      </c>
    </row>
    <row r="42" spans="1:3" ht="19.5" customHeight="1" x14ac:dyDescent="0.3">
      <c r="A42" s="139" t="s">
        <v>77</v>
      </c>
      <c r="B42" s="107">
        <f>IFERROR((B41-B6)/B6,"")</f>
        <v>-0.3434304831345546</v>
      </c>
      <c r="C42" s="28" t="s">
        <v>47</v>
      </c>
    </row>
    <row r="43" spans="1:3" ht="7.5" customHeight="1" x14ac:dyDescent="0.3"/>
    <row r="44" spans="1:3" ht="19.5" customHeight="1" x14ac:dyDescent="0.3">
      <c r="A44" s="199" t="s">
        <v>78</v>
      </c>
      <c r="B44" s="199"/>
      <c r="C44" s="199"/>
    </row>
    <row r="45" spans="1:3" ht="18" customHeight="1" x14ac:dyDescent="0.3">
      <c r="A45" s="16" t="s">
        <v>79</v>
      </c>
      <c r="B45" s="30">
        <f>IFERROR(B6*B7,"")</f>
        <v>504000</v>
      </c>
      <c r="C45" s="18" t="s">
        <v>80</v>
      </c>
    </row>
    <row r="46" spans="1:3" ht="18" customHeight="1" x14ac:dyDescent="0.3">
      <c r="A46" s="16" t="s">
        <v>81</v>
      </c>
      <c r="B46" s="22">
        <f>IFERROR(B6/B8,"")</f>
        <v>4.8</v>
      </c>
      <c r="C46" s="18" t="s">
        <v>60</v>
      </c>
    </row>
    <row r="47" spans="1:3" ht="18" customHeight="1" x14ac:dyDescent="0.3">
      <c r="A47" s="16" t="s">
        <v>184</v>
      </c>
      <c r="B47" s="22">
        <f>IFERROR((B6*B7+B11-B12)/B16,"")</f>
        <v>18.8</v>
      </c>
      <c r="C47" s="18" t="s">
        <v>60</v>
      </c>
    </row>
    <row r="48" spans="1:3" ht="18" customHeight="1" x14ac:dyDescent="0.3">
      <c r="A48" s="16" t="s">
        <v>314</v>
      </c>
      <c r="B48" s="22">
        <f>IFERROR(B6/B9,"")</f>
        <v>6</v>
      </c>
      <c r="C48" s="18" t="s">
        <v>60</v>
      </c>
    </row>
    <row r="50" spans="1:3" ht="33.75" customHeight="1" x14ac:dyDescent="0.3">
      <c r="A50" s="203" t="s">
        <v>84</v>
      </c>
      <c r="B50" s="203"/>
      <c r="C50" s="203"/>
    </row>
    <row r="51" spans="1:3" ht="24" customHeight="1" x14ac:dyDescent="0.3">
      <c r="A51" s="204" t="s">
        <v>85</v>
      </c>
      <c r="B51" s="204"/>
      <c r="C51" s="204"/>
    </row>
    <row r="52" spans="1:3" ht="7.5" customHeight="1" x14ac:dyDescent="0.3"/>
    <row r="53" spans="1:3" ht="19.5" customHeight="1" x14ac:dyDescent="0.3">
      <c r="A53" s="199" t="s">
        <v>86</v>
      </c>
      <c r="B53" s="199"/>
      <c r="C53" s="199"/>
    </row>
    <row r="54" spans="1:3" ht="18" customHeight="1" x14ac:dyDescent="0.3">
      <c r="A54" s="11" t="s">
        <v>38</v>
      </c>
      <c r="B54" s="32">
        <f>B6</f>
        <v>3600</v>
      </c>
      <c r="C54" s="33" t="s">
        <v>39</v>
      </c>
    </row>
    <row r="55" spans="1:3" ht="18" customHeight="1" x14ac:dyDescent="0.3">
      <c r="A55" s="11" t="s">
        <v>76</v>
      </c>
      <c r="B55" s="32">
        <f>B41</f>
        <v>2363.6502607156035</v>
      </c>
      <c r="C55" s="33" t="s">
        <v>39</v>
      </c>
    </row>
    <row r="56" spans="1:3" ht="19.5" customHeight="1" x14ac:dyDescent="0.3">
      <c r="A56" s="34" t="s">
        <v>87</v>
      </c>
      <c r="B56" s="35">
        <f>B42</f>
        <v>-0.3434304831345546</v>
      </c>
      <c r="C56" s="36" t="s">
        <v>47</v>
      </c>
    </row>
    <row r="57" spans="1:3" ht="7.5" customHeight="1" x14ac:dyDescent="0.3"/>
    <row r="58" spans="1:3" ht="19.5" customHeight="1" x14ac:dyDescent="0.3">
      <c r="A58" s="199" t="s">
        <v>88</v>
      </c>
      <c r="B58" s="199"/>
      <c r="C58" s="199"/>
    </row>
    <row r="59" spans="1:3" ht="21.75" customHeight="1" x14ac:dyDescent="0.3">
      <c r="A59" s="11" t="s">
        <v>216</v>
      </c>
      <c r="B59" s="37" t="str">
        <f>IF(B25="","— Enter Data —",IF(B25&gt;0.2,"STRONG BUY",IF(B25&gt;0.1,"BUY",IF(B25&gt;=-0.1,"HOLD",IF(B25&gt;=-0.2,"SELL","STRONG SELL")))))</f>
        <v>HOLD</v>
      </c>
      <c r="C59" s="38"/>
    </row>
    <row r="60" spans="1:3" ht="21.75" customHeight="1" x14ac:dyDescent="0.3">
      <c r="A60" s="11" t="s">
        <v>315</v>
      </c>
      <c r="B60" s="37" t="str">
        <f>IF(B29="","— Enter Data —",IF(B29&gt;0.2,"STRONG BUY",IF(B29&gt;0.1,"BUY",IF(B29&gt;=-0.1,"HOLD",IF(B29&gt;=-0.2,"SELL","STRONG SELL")))))</f>
        <v>HOLD</v>
      </c>
      <c r="C60" s="38"/>
    </row>
    <row r="61" spans="1:3" ht="21.75" customHeight="1" x14ac:dyDescent="0.3">
      <c r="A61" s="11" t="s">
        <v>316</v>
      </c>
      <c r="B61" s="37" t="str">
        <f>IF(B33="","— Enter Data —",IF(B33&gt;0.2,"STRONG BUY",IF(B33&gt;0.1,"BUY",IF(B33&gt;=-0.1,"HOLD",IF(B33&gt;=-0.2,"SELL","STRONG SELL")))))</f>
        <v>STRONG SELL</v>
      </c>
      <c r="C61" s="38"/>
    </row>
    <row r="62" spans="1:3" ht="21.75" customHeight="1" x14ac:dyDescent="0.3">
      <c r="A62" s="11" t="s">
        <v>355</v>
      </c>
      <c r="B62" s="37" t="str">
        <f>IF(B154="","— Enter Data —",IF(B154&gt;0.2,"STRONG BUY",IF(B154&gt;0.1,"BUY",IF(B154&gt;=-0.1,"HOLD",IF(B154&gt;=-0.2,"SELL","STRONG SELL")))))</f>
        <v>STRONG SELL</v>
      </c>
      <c r="C62" s="38"/>
    </row>
    <row r="63" spans="1:3" ht="7.5" customHeight="1" x14ac:dyDescent="0.3"/>
    <row r="64" spans="1:3" ht="19.5" customHeight="1" x14ac:dyDescent="0.3">
      <c r="A64" s="199" t="s">
        <v>93</v>
      </c>
      <c r="B64" s="199"/>
      <c r="C64" s="199"/>
    </row>
    <row r="65" spans="1:3" ht="18" customHeight="1" x14ac:dyDescent="0.3">
      <c r="A65" s="11" t="s">
        <v>94</v>
      </c>
      <c r="B65" s="39">
        <f>COUNTIF(B59,"*BUY*")+COUNTIF(B60,"*BUY*")+COUNTIF(B61,"*BUY*")+COUNTIF(B62,"*BUY*")</f>
        <v>0</v>
      </c>
      <c r="C65" s="33" t="s">
        <v>95</v>
      </c>
    </row>
    <row r="66" spans="1:3" ht="18" customHeight="1" x14ac:dyDescent="0.3">
      <c r="A66" s="11" t="s">
        <v>96</v>
      </c>
      <c r="B66" s="40">
        <f>COUNTIF(B59,"HOLD")+COUNTIF(B60,"HOLD")+COUNTIF(B61,"HOLD")+COUNTIF(B62,"HOLD")</f>
        <v>2</v>
      </c>
      <c r="C66" s="33" t="s">
        <v>95</v>
      </c>
    </row>
    <row r="67" spans="1:3" ht="18" customHeight="1" x14ac:dyDescent="0.3">
      <c r="A67" s="11" t="s">
        <v>97</v>
      </c>
      <c r="B67" s="41">
        <f>COUNTIF(B59,"*SELL*")+COUNTIF(B60,"*SELL*")+COUNTIF(B61,"*SELL*")+COUNTIF(B62,"*SELL*")</f>
        <v>2</v>
      </c>
      <c r="C67" s="33" t="s">
        <v>95</v>
      </c>
    </row>
    <row r="68" spans="1:3" ht="9.75" customHeight="1" x14ac:dyDescent="0.3"/>
    <row r="69" spans="1:3" ht="19.5" customHeight="1" x14ac:dyDescent="0.3">
      <c r="A69" s="200" t="s">
        <v>98</v>
      </c>
      <c r="B69" s="200"/>
      <c r="C69" s="200"/>
    </row>
    <row r="70" spans="1:3" ht="37.5" customHeight="1" x14ac:dyDescent="0.3">
      <c r="A70" s="42" t="s">
        <v>99</v>
      </c>
      <c r="B70" s="43" t="str">
        <f>IF(B42="","— Enter Data —",IF(B42&gt;0.2,"STRONG BUY",IF(B42&gt;0.1,"BUY",IF(B42&gt;=-0.1,"HOLD",IF(B42&gt;=-0.2,"SELL","STRONG SELL")))))</f>
        <v>STRONG SELL</v>
      </c>
      <c r="C70" s="11"/>
    </row>
    <row r="71" spans="1:3" ht="18" customHeight="1" x14ac:dyDescent="0.3">
      <c r="A71" s="44" t="s">
        <v>100</v>
      </c>
      <c r="B71" s="45">
        <f>B42</f>
        <v>-0.3434304831345546</v>
      </c>
      <c r="C71" s="33" t="s">
        <v>101</v>
      </c>
    </row>
    <row r="72" spans="1:3" ht="6" customHeight="1" x14ac:dyDescent="0.3"/>
    <row r="73" spans="1:3" ht="36" customHeight="1" x14ac:dyDescent="0.3">
      <c r="A73" s="201" t="s">
        <v>102</v>
      </c>
      <c r="B73" s="201"/>
      <c r="C73" s="201"/>
    </row>
    <row r="76" spans="1:3" ht="33.75" customHeight="1" x14ac:dyDescent="0.3">
      <c r="A76" s="202" t="s">
        <v>103</v>
      </c>
      <c r="B76" s="202"/>
      <c r="C76" s="202"/>
    </row>
    <row r="77" spans="1:3" ht="25.5" customHeight="1" x14ac:dyDescent="0.3">
      <c r="A77" s="198" t="s">
        <v>104</v>
      </c>
      <c r="B77" s="198"/>
      <c r="C77" s="198"/>
    </row>
    <row r="78" spans="1:3" ht="7.5" customHeight="1" x14ac:dyDescent="0.3"/>
    <row r="79" spans="1:3" ht="19.5" customHeight="1" x14ac:dyDescent="0.3">
      <c r="A79" s="196" t="s">
        <v>105</v>
      </c>
      <c r="B79" s="196"/>
      <c r="C79" s="196"/>
    </row>
    <row r="80" spans="1:3" ht="19.5" customHeight="1" x14ac:dyDescent="0.3">
      <c r="A80" s="11" t="s">
        <v>106</v>
      </c>
      <c r="B80" s="178">
        <v>0.2</v>
      </c>
      <c r="C80" s="33" t="s">
        <v>191</v>
      </c>
    </row>
    <row r="81" spans="1:3" ht="19.5" customHeight="1" x14ac:dyDescent="0.3">
      <c r="A81" s="11" t="s">
        <v>108</v>
      </c>
      <c r="B81" s="178">
        <v>0.12</v>
      </c>
      <c r="C81" s="33" t="s">
        <v>192</v>
      </c>
    </row>
    <row r="82" spans="1:3" ht="7.5" customHeight="1" x14ac:dyDescent="0.3"/>
    <row r="83" spans="1:3" ht="19.5" customHeight="1" x14ac:dyDescent="0.3">
      <c r="A83" s="197" t="s">
        <v>110</v>
      </c>
      <c r="B83" s="197"/>
      <c r="C83" s="197"/>
    </row>
    <row r="84" spans="1:3" ht="18" customHeight="1" x14ac:dyDescent="0.3">
      <c r="A84" s="46" t="s">
        <v>111</v>
      </c>
      <c r="B84" s="46" t="s">
        <v>112</v>
      </c>
      <c r="C84" s="46" t="s">
        <v>113</v>
      </c>
    </row>
    <row r="85" spans="1:3" ht="25.5" customHeight="1" x14ac:dyDescent="0.3">
      <c r="A85" s="47" t="s">
        <v>114</v>
      </c>
      <c r="B85" s="110">
        <f>IFERROR(B41*(1-B80*1.5),"")</f>
        <v>1654.5551825009225</v>
      </c>
      <c r="C85" s="49" t="str">
        <f>IF(OR(B6="",B85=""),"—",IF(ABS(B6-B85)/B85&lt;0.005,"  ◆  CMP IS HERE",IF(B6&lt;B85,"  ✅  BELOW — ENTRY OPEN","  ⬆  ABOVE — NOT YET")))</f>
        <v xml:space="preserve">  ⬆  ABOVE — NOT YET</v>
      </c>
    </row>
    <row r="86" spans="1:3" ht="25.5" customHeight="1" x14ac:dyDescent="0.3">
      <c r="A86" s="50" t="s">
        <v>115</v>
      </c>
      <c r="B86" s="114">
        <f>IFERROR(B41*(1-B80),"")</f>
        <v>1890.9202085724828</v>
      </c>
      <c r="C86" s="52" t="str">
        <f>IF(OR(B6="",B86=""),"—",IF(ABS(B6-B86)/B86&lt;0.005,"  ◆  CMP IS HERE",IF(B6&lt;B86,"  ✅  BELOW — ENTRY OPEN","  ⬆  ABOVE — NOT YET")))</f>
        <v xml:space="preserve">  ⬆  ABOVE — NOT YET</v>
      </c>
    </row>
    <row r="87" spans="1:3" ht="25.5" customHeight="1" x14ac:dyDescent="0.3">
      <c r="A87" s="53" t="s">
        <v>116</v>
      </c>
      <c r="B87" s="118">
        <f>IFERROR(B41*(1-B80*0.5),"")</f>
        <v>2127.2852346440432</v>
      </c>
      <c r="C87" s="55" t="str">
        <f>IF(OR(B6="",B87=""),"—",IF(ABS(B6-B87)/B87&lt;0.005,"  ◆  CMP IS HERE",IF(B6&lt;B87,"  ✅  BELOW — ENTRY OPEN","  ⬆  ABOVE — NOT YET")))</f>
        <v xml:space="preserve">  ⬆  ABOVE — NOT YET</v>
      </c>
    </row>
    <row r="88" spans="1:3" ht="25.5" customHeight="1" x14ac:dyDescent="0.3">
      <c r="A88" s="56" t="s">
        <v>117</v>
      </c>
      <c r="B88" s="122">
        <f>B41</f>
        <v>2363.6502607156035</v>
      </c>
      <c r="C88" s="58" t="str">
        <f>IF(OR(B6="",B88=""),"—",IF(ABS(B6-B88)/B88&lt;0.005,"  ◆  CMP IS HERE",IF(B6&lt;B88,"  ✅  BELOW — ENTRY OPEN","  ⬆  ABOVE — NOT YET")))</f>
        <v xml:space="preserve">  ⬆  ABOVE — NOT YET</v>
      </c>
    </row>
    <row r="89" spans="1:3" ht="25.5" customHeight="1" x14ac:dyDescent="0.3">
      <c r="A89" s="59" t="s">
        <v>118</v>
      </c>
      <c r="B89" s="126">
        <f>IFERROR(B41*1.15,"")</f>
        <v>2718.197799822944</v>
      </c>
      <c r="C89" s="61" t="str">
        <f>IF(OR(B6="",B89=""),"—",IF(ABS(B6-B89)/B89&lt;0.005,"  ◆  CMP IS HERE",IF(B6&lt;B89,"  ✅  BELOW — ENTRY OPEN","  ⬆  ABOVE — NOT YET")))</f>
        <v xml:space="preserve">  ⬆  ABOVE — NOT YET</v>
      </c>
    </row>
    <row r="90" spans="1:3" ht="25.5" customHeight="1" x14ac:dyDescent="0.3">
      <c r="A90" s="62" t="s">
        <v>119</v>
      </c>
      <c r="B90" s="130">
        <f>IFERROR(B41*1.25,"")</f>
        <v>2954.5628258945044</v>
      </c>
      <c r="C90" s="64" t="str">
        <f>IF(OR(B6="",B90=""),"—",IF(ABS(B6-B90)/B90&lt;0.005,"  ◆  CMP IS HERE",IF(B6&lt;B90,"  ✅  BELOW — ENTRY OPEN","  ⬆  ABOVE — NOT YET")))</f>
        <v xml:space="preserve">  ⬆  ABOVE — NOT YET</v>
      </c>
    </row>
    <row r="91" spans="1:3" ht="25.5" customHeight="1" x14ac:dyDescent="0.3">
      <c r="A91" s="65" t="s">
        <v>120</v>
      </c>
      <c r="B91" s="134">
        <f>IFERROR(B85*(1-B81),"")</f>
        <v>1456.0085606008117</v>
      </c>
      <c r="C91" s="67" t="str">
        <f>IF(OR(B6="",B91=""),"—",IF(ABS(B6-B91)/B91&lt;0.005,"  ◆  CMP IS HERE",IF(B6&lt;B91,"  ✅  BELOW — ENTRY OPEN","  ⬆  ABOVE — NOT YET")))</f>
        <v xml:space="preserve">  ⬆  ABOVE — NOT YET</v>
      </c>
    </row>
    <row r="92" spans="1:3" ht="25.5" customHeight="1" x14ac:dyDescent="0.3">
      <c r="A92" s="184"/>
      <c r="B92" s="187"/>
      <c r="C92" s="186"/>
    </row>
    <row r="93" spans="1:3" ht="64.2" customHeight="1" x14ac:dyDescent="0.3">
      <c r="A93" s="198" t="s">
        <v>350</v>
      </c>
      <c r="B93" s="198"/>
      <c r="C93" s="198"/>
    </row>
    <row r="94" spans="1:3" ht="7.5" customHeight="1" x14ac:dyDescent="0.3"/>
    <row r="95" spans="1:3" ht="19.5" customHeight="1" x14ac:dyDescent="0.3">
      <c r="A95" s="196" t="s">
        <v>121</v>
      </c>
      <c r="B95" s="196"/>
      <c r="C95" s="196"/>
    </row>
    <row r="96" spans="1:3" ht="19.5" customHeight="1" x14ac:dyDescent="0.3">
      <c r="A96" s="11" t="s">
        <v>122</v>
      </c>
      <c r="B96" s="68">
        <f>B6</f>
        <v>3600</v>
      </c>
      <c r="C96" s="33" t="s">
        <v>39</v>
      </c>
    </row>
    <row r="97" spans="1:8" ht="27.75" customHeight="1" x14ac:dyDescent="0.3">
      <c r="A97" s="69" t="s">
        <v>123</v>
      </c>
      <c r="B97" s="70" t="str">
        <f>IF(OR(B6="",B41=""),"Enter data above",IF(B6&lt;=B41*(1-B85*1.5),"** STRONG BUY ** Excellent Entry",IF(B6&lt;=B41*(1-B85),"BUY - Good Entry",IF(B6&lt;=B41*(1-B85*0.5),"ACCUMULATE - Reasonable Entry",IF(B6&lt;=B41,"Near Fair Value - Cautious",IF(B6&lt;=B41*1.15,"Above Fair Value - Consider Trimming",IF(B6&lt;=B41*1.25,"EXPENSIVE - Consider Exiting","OVERVALUED - Exit Now")))))))</f>
        <v>OVERVALUED - Exit Now</v>
      </c>
      <c r="C97" s="71"/>
    </row>
    <row r="98" spans="1:8" ht="7.5" customHeight="1" x14ac:dyDescent="0.3"/>
    <row r="99" spans="1:8" ht="19.5" customHeight="1" x14ac:dyDescent="0.3">
      <c r="A99" s="197" t="s">
        <v>124</v>
      </c>
      <c r="B99" s="197"/>
      <c r="C99" s="197"/>
    </row>
    <row r="100" spans="1:8" ht="19.5" customHeight="1" x14ac:dyDescent="0.3">
      <c r="A100" s="72" t="s">
        <v>125</v>
      </c>
      <c r="B100" s="73" t="s">
        <v>126</v>
      </c>
      <c r="C100" s="74"/>
    </row>
    <row r="101" spans="1:8" ht="19.5" customHeight="1" x14ac:dyDescent="0.3">
      <c r="A101" s="75" t="s">
        <v>127</v>
      </c>
      <c r="B101" s="76" t="s">
        <v>128</v>
      </c>
      <c r="C101" s="76"/>
    </row>
    <row r="102" spans="1:8" ht="19.5" customHeight="1" x14ac:dyDescent="0.3">
      <c r="A102" s="77" t="s">
        <v>129</v>
      </c>
      <c r="B102" s="78" t="s">
        <v>130</v>
      </c>
      <c r="C102" s="78"/>
    </row>
    <row r="103" spans="1:8" ht="19.5" customHeight="1" x14ac:dyDescent="0.3">
      <c r="A103" s="79" t="s">
        <v>131</v>
      </c>
      <c r="B103" s="80" t="s">
        <v>132</v>
      </c>
      <c r="C103" s="80"/>
    </row>
    <row r="104" spans="1:8" ht="19.5" customHeight="1" x14ac:dyDescent="0.3">
      <c r="A104" s="81" t="s">
        <v>133</v>
      </c>
      <c r="B104" s="82" t="s">
        <v>134</v>
      </c>
      <c r="C104" s="82"/>
    </row>
    <row r="105" spans="1:8" ht="19.5" customHeight="1" x14ac:dyDescent="0.3">
      <c r="A105" s="83" t="s">
        <v>135</v>
      </c>
      <c r="B105" s="84" t="s">
        <v>136</v>
      </c>
      <c r="C105" s="84"/>
    </row>
    <row r="106" spans="1:8" ht="19.5" customHeight="1" x14ac:dyDescent="0.3">
      <c r="A106" s="85" t="s">
        <v>137</v>
      </c>
      <c r="B106" s="86" t="s">
        <v>138</v>
      </c>
      <c r="C106" s="87"/>
    </row>
    <row r="107" spans="1:8" ht="7.5" customHeight="1" x14ac:dyDescent="0.3"/>
    <row r="108" spans="1:8" ht="43.5" customHeight="1" x14ac:dyDescent="0.3">
      <c r="A108" s="198" t="s">
        <v>139</v>
      </c>
      <c r="B108" s="198"/>
      <c r="C108" s="198"/>
    </row>
    <row r="111" spans="1:8" ht="36" customHeight="1" x14ac:dyDescent="0.3">
      <c r="A111" s="222" t="s">
        <v>317</v>
      </c>
      <c r="B111" s="222"/>
      <c r="C111" s="222"/>
      <c r="D111" s="222"/>
      <c r="E111" s="222"/>
      <c r="F111" s="222"/>
      <c r="G111" s="222"/>
      <c r="H111" s="222"/>
    </row>
    <row r="112" spans="1:8" ht="30" customHeight="1" x14ac:dyDescent="0.3">
      <c r="A112" s="198" t="s">
        <v>219</v>
      </c>
      <c r="B112" s="198"/>
      <c r="C112" s="198"/>
      <c r="D112" s="198"/>
      <c r="E112" s="198"/>
      <c r="F112" s="198"/>
      <c r="G112" s="198"/>
      <c r="H112" s="198"/>
    </row>
    <row r="113" spans="1:8" ht="9.75" customHeight="1" x14ac:dyDescent="0.3"/>
    <row r="114" spans="1:8" ht="21.75" customHeight="1" x14ac:dyDescent="0.3">
      <c r="A114" s="220" t="s">
        <v>220</v>
      </c>
      <c r="B114" s="220"/>
      <c r="C114" s="220"/>
      <c r="D114" s="220"/>
      <c r="E114" s="220"/>
      <c r="F114" s="220"/>
      <c r="G114" s="220"/>
      <c r="H114" s="220"/>
    </row>
    <row r="115" spans="1:8" ht="19.5" customHeight="1" x14ac:dyDescent="0.3">
      <c r="A115" s="11" t="s">
        <v>221</v>
      </c>
      <c r="B115" s="178">
        <v>0.11</v>
      </c>
      <c r="C115" s="33" t="s">
        <v>47</v>
      </c>
      <c r="D115" s="109"/>
      <c r="E115" s="109"/>
      <c r="F115" s="109"/>
      <c r="G115" s="109"/>
      <c r="H115" s="109"/>
    </row>
    <row r="116" spans="1:8" ht="19.5" customHeight="1" x14ac:dyDescent="0.3">
      <c r="A116" s="11" t="s">
        <v>222</v>
      </c>
      <c r="B116" s="178">
        <v>0.14000000000000001</v>
      </c>
      <c r="C116" s="33" t="s">
        <v>47</v>
      </c>
      <c r="D116" s="109"/>
      <c r="E116" s="109"/>
      <c r="F116" s="109"/>
      <c r="G116" s="109"/>
      <c r="H116" s="109"/>
    </row>
    <row r="117" spans="1:8" ht="19.5" customHeight="1" x14ac:dyDescent="0.3">
      <c r="A117" s="11" t="s">
        <v>223</v>
      </c>
      <c r="B117" s="178">
        <v>0.1</v>
      </c>
      <c r="C117" s="33" t="s">
        <v>47</v>
      </c>
      <c r="D117" s="109"/>
      <c r="E117" s="109"/>
      <c r="F117" s="109"/>
      <c r="G117" s="109"/>
      <c r="H117" s="109"/>
    </row>
    <row r="118" spans="1:8" ht="19.5" customHeight="1" x14ac:dyDescent="0.3">
      <c r="A118" s="11" t="s">
        <v>224</v>
      </c>
      <c r="B118" s="178">
        <v>0.05</v>
      </c>
      <c r="C118" s="33" t="s">
        <v>47</v>
      </c>
      <c r="D118" s="109"/>
      <c r="E118" s="109"/>
      <c r="F118" s="109"/>
      <c r="G118" s="109"/>
      <c r="H118" s="109"/>
    </row>
    <row r="119" spans="1:8" ht="19.5" customHeight="1" x14ac:dyDescent="0.3">
      <c r="A119" s="11" t="s">
        <v>318</v>
      </c>
      <c r="B119" s="140">
        <f>ROUND(B16/B15,4)</f>
        <v>0.13639999999999999</v>
      </c>
      <c r="C119" s="33" t="s">
        <v>47</v>
      </c>
      <c r="D119" s="109"/>
      <c r="E119" s="109"/>
      <c r="F119" s="109"/>
      <c r="G119" s="109"/>
      <c r="H119" s="109"/>
    </row>
    <row r="120" spans="1:8" ht="19.5" customHeight="1" x14ac:dyDescent="0.3">
      <c r="A120" s="11" t="s">
        <v>153</v>
      </c>
      <c r="B120" s="178">
        <v>0.25</v>
      </c>
      <c r="C120" s="33" t="s">
        <v>47</v>
      </c>
      <c r="D120" s="109"/>
      <c r="E120" s="109"/>
      <c r="F120" s="109"/>
      <c r="G120" s="109"/>
      <c r="H120" s="109"/>
    </row>
    <row r="121" spans="1:8" ht="19.5" customHeight="1" x14ac:dyDescent="0.3">
      <c r="A121" s="11" t="s">
        <v>154</v>
      </c>
      <c r="B121" s="178">
        <v>0.03</v>
      </c>
      <c r="C121" s="33" t="s">
        <v>47</v>
      </c>
      <c r="D121" s="109"/>
      <c r="E121" s="109"/>
      <c r="F121" s="109"/>
      <c r="G121" s="109"/>
      <c r="H121" s="109"/>
    </row>
    <row r="122" spans="1:8" ht="19.5" customHeight="1" x14ac:dyDescent="0.3">
      <c r="A122" s="11" t="s">
        <v>226</v>
      </c>
      <c r="B122" s="178">
        <v>0.05</v>
      </c>
      <c r="C122" s="33" t="s">
        <v>47</v>
      </c>
      <c r="D122" s="109"/>
      <c r="E122" s="109"/>
      <c r="F122" s="109"/>
      <c r="G122" s="109"/>
      <c r="H122" s="109"/>
    </row>
    <row r="123" spans="1:8" ht="19.5" customHeight="1" x14ac:dyDescent="0.3">
      <c r="A123" s="11" t="s">
        <v>156</v>
      </c>
      <c r="B123" s="178">
        <v>0.02</v>
      </c>
      <c r="C123" s="33" t="s">
        <v>47</v>
      </c>
      <c r="D123" s="109"/>
      <c r="E123" s="109"/>
      <c r="F123" s="109"/>
      <c r="G123" s="109"/>
      <c r="H123" s="109"/>
    </row>
    <row r="124" spans="1:8" ht="7.5" customHeight="1" x14ac:dyDescent="0.3"/>
    <row r="125" spans="1:8" ht="21.75" customHeight="1" x14ac:dyDescent="0.3">
      <c r="A125" s="220" t="s">
        <v>227</v>
      </c>
      <c r="B125" s="220"/>
      <c r="C125" s="220"/>
      <c r="D125" s="220"/>
      <c r="E125" s="220"/>
      <c r="F125" s="220"/>
      <c r="G125" s="220"/>
      <c r="H125" s="220"/>
    </row>
    <row r="126" spans="1:8" ht="18" customHeight="1" x14ac:dyDescent="0.3">
      <c r="A126" s="11" t="s">
        <v>228</v>
      </c>
      <c r="B126" s="141">
        <f>B15</f>
        <v>220000</v>
      </c>
      <c r="C126" s="33" t="s">
        <v>80</v>
      </c>
      <c r="D126" s="109"/>
      <c r="E126" s="109"/>
      <c r="F126" s="109"/>
      <c r="G126" s="109"/>
      <c r="H126" s="109"/>
    </row>
    <row r="127" spans="1:8" ht="18" customHeight="1" x14ac:dyDescent="0.3">
      <c r="A127" s="11" t="s">
        <v>229</v>
      </c>
      <c r="B127" s="141">
        <f>B16</f>
        <v>30000</v>
      </c>
      <c r="C127" s="33" t="s">
        <v>80</v>
      </c>
      <c r="D127" s="109"/>
      <c r="E127" s="109"/>
      <c r="F127" s="109"/>
      <c r="G127" s="109"/>
      <c r="H127" s="109"/>
    </row>
    <row r="128" spans="1:8" ht="18" customHeight="1" x14ac:dyDescent="0.3">
      <c r="A128" s="11" t="s">
        <v>230</v>
      </c>
      <c r="B128" s="141">
        <f>B11</f>
        <v>80000</v>
      </c>
      <c r="C128" s="33" t="s">
        <v>80</v>
      </c>
      <c r="D128" s="109"/>
      <c r="E128" s="109"/>
      <c r="F128" s="109"/>
      <c r="G128" s="109"/>
      <c r="H128" s="109"/>
    </row>
    <row r="129" spans="1:8" ht="18" customHeight="1" x14ac:dyDescent="0.3">
      <c r="A129" s="11" t="s">
        <v>231</v>
      </c>
      <c r="B129" s="141">
        <f>B12</f>
        <v>20000</v>
      </c>
      <c r="C129" s="33" t="s">
        <v>80</v>
      </c>
      <c r="D129" s="109"/>
      <c r="E129" s="109"/>
      <c r="F129" s="109"/>
      <c r="G129" s="109"/>
      <c r="H129" s="109"/>
    </row>
    <row r="130" spans="1:8" ht="18" customHeight="1" x14ac:dyDescent="0.3">
      <c r="A130" s="11" t="s">
        <v>232</v>
      </c>
      <c r="B130" s="141">
        <f>B7</f>
        <v>140</v>
      </c>
      <c r="C130" s="33" t="s">
        <v>41</v>
      </c>
      <c r="D130" s="109"/>
      <c r="E130" s="109"/>
      <c r="F130" s="109"/>
      <c r="G130" s="109"/>
      <c r="H130" s="109"/>
    </row>
    <row r="131" spans="1:8" ht="18" customHeight="1" x14ac:dyDescent="0.3">
      <c r="A131" s="11" t="s">
        <v>122</v>
      </c>
      <c r="B131" s="141">
        <f>B6</f>
        <v>3600</v>
      </c>
      <c r="C131" s="33" t="s">
        <v>39</v>
      </c>
      <c r="D131" s="109"/>
      <c r="E131" s="109"/>
      <c r="F131" s="109"/>
      <c r="G131" s="109"/>
      <c r="H131" s="109"/>
    </row>
    <row r="132" spans="1:8" ht="9.75" customHeight="1" x14ac:dyDescent="0.3"/>
    <row r="133" spans="1:8" ht="21.75" customHeight="1" x14ac:dyDescent="0.3">
      <c r="A133" s="221" t="s">
        <v>233</v>
      </c>
      <c r="B133" s="221"/>
      <c r="C133" s="221"/>
      <c r="D133" s="221"/>
      <c r="E133" s="221"/>
      <c r="F133" s="221"/>
      <c r="G133" s="221"/>
      <c r="H133" s="221"/>
    </row>
    <row r="134" spans="1:8" ht="21.75" customHeight="1" x14ac:dyDescent="0.3">
      <c r="A134" s="1" t="s">
        <v>234</v>
      </c>
      <c r="B134" s="91" t="s">
        <v>158</v>
      </c>
      <c r="C134" s="91" t="s">
        <v>159</v>
      </c>
      <c r="D134" s="91" t="s">
        <v>160</v>
      </c>
      <c r="E134" s="91" t="s">
        <v>161</v>
      </c>
      <c r="F134" s="91" t="s">
        <v>162</v>
      </c>
      <c r="G134" s="91" t="s">
        <v>163</v>
      </c>
      <c r="H134" s="142" t="s">
        <v>164</v>
      </c>
    </row>
    <row r="135" spans="1:8" ht="19.5" customHeight="1" x14ac:dyDescent="0.3">
      <c r="A135" s="11" t="s">
        <v>235</v>
      </c>
      <c r="B135" s="143">
        <f>B15</f>
        <v>220000</v>
      </c>
      <c r="C135" s="144">
        <f>IFERROR(B135*(1+B116),"")</f>
        <v>250800.00000000003</v>
      </c>
      <c r="D135" s="144">
        <f>IFERROR(C135*(1+B116),"")</f>
        <v>285912.00000000006</v>
      </c>
      <c r="E135" s="144">
        <f>IFERROR(D135*(1+B116),"")</f>
        <v>325939.68000000011</v>
      </c>
      <c r="F135" s="144">
        <f>IFERROR(E135*(1+B117),"")</f>
        <v>358533.64800000016</v>
      </c>
      <c r="G135" s="144">
        <f>IFERROR(F135*(1+B117),"")</f>
        <v>394387.0128000002</v>
      </c>
      <c r="H135" s="145"/>
    </row>
    <row r="136" spans="1:8" ht="19.5" customHeight="1" x14ac:dyDescent="0.3">
      <c r="A136" s="11" t="s">
        <v>236</v>
      </c>
      <c r="B136" s="143">
        <f>B16</f>
        <v>30000</v>
      </c>
      <c r="C136" s="144">
        <f>IFERROR(C135*B119,"")</f>
        <v>34209.120000000003</v>
      </c>
      <c r="D136" s="144">
        <f>IFERROR(D135*B119,"")</f>
        <v>38998.39680000001</v>
      </c>
      <c r="E136" s="144">
        <f>IFERROR(E135*B119,"")</f>
        <v>44458.172352000016</v>
      </c>
      <c r="F136" s="144">
        <f>IFERROR(F135*B119,"")</f>
        <v>48903.98958720002</v>
      </c>
      <c r="G136" s="144">
        <f>IFERROR(G135*B119,"")</f>
        <v>53794.388545920025</v>
      </c>
      <c r="H136" s="145"/>
    </row>
    <row r="137" spans="1:8" ht="18" customHeight="1" x14ac:dyDescent="0.3">
      <c r="A137" s="33" t="s">
        <v>237</v>
      </c>
      <c r="B137" s="146">
        <f t="shared" ref="B137:G137" si="0">IFERROR(B136/B135,"")</f>
        <v>0.13636363636363635</v>
      </c>
      <c r="C137" s="146">
        <f t="shared" si="0"/>
        <v>0.13639999999999999</v>
      </c>
      <c r="D137" s="146">
        <f t="shared" si="0"/>
        <v>0.13639999999999999</v>
      </c>
      <c r="E137" s="146">
        <f t="shared" si="0"/>
        <v>0.13639999999999999</v>
      </c>
      <c r="F137" s="146">
        <f t="shared" si="0"/>
        <v>0.13639999999999999</v>
      </c>
      <c r="G137" s="146">
        <f t="shared" si="0"/>
        <v>0.13639999999999999</v>
      </c>
      <c r="H137" s="146"/>
    </row>
    <row r="138" spans="1:8" ht="19.5" customHeight="1" x14ac:dyDescent="0.3">
      <c r="A138" s="11" t="s">
        <v>238</v>
      </c>
      <c r="B138" s="144">
        <f>IFERROR(B135*B121,"")</f>
        <v>6600</v>
      </c>
      <c r="C138" s="144">
        <f>IFERROR(C135*B121,"")</f>
        <v>7524.0000000000009</v>
      </c>
      <c r="D138" s="144">
        <f>IFERROR(D135*B121,"")</f>
        <v>8577.36</v>
      </c>
      <c r="E138" s="144">
        <f>IFERROR(E135*B121,"")</f>
        <v>9778.1904000000031</v>
      </c>
      <c r="F138" s="144">
        <f>IFERROR(F135*B121,"")</f>
        <v>10756.009440000005</v>
      </c>
      <c r="G138" s="144">
        <f>IFERROR(G135*B121,"")</f>
        <v>11831.610384000005</v>
      </c>
      <c r="H138" s="145"/>
    </row>
    <row r="139" spans="1:8" ht="19.5" customHeight="1" x14ac:dyDescent="0.3">
      <c r="A139" s="16" t="s">
        <v>239</v>
      </c>
      <c r="B139" s="30">
        <f t="shared" ref="B139:G139" si="1">IFERROR(B136-B138,"")</f>
        <v>23400</v>
      </c>
      <c r="C139" s="30">
        <f t="shared" si="1"/>
        <v>26685.120000000003</v>
      </c>
      <c r="D139" s="30">
        <f t="shared" si="1"/>
        <v>30421.036800000009</v>
      </c>
      <c r="E139" s="30">
        <f t="shared" si="1"/>
        <v>34679.981952000016</v>
      </c>
      <c r="F139" s="30">
        <f t="shared" si="1"/>
        <v>38147.980147200011</v>
      </c>
      <c r="G139" s="30">
        <f t="shared" si="1"/>
        <v>41962.778161920018</v>
      </c>
      <c r="H139" s="145"/>
    </row>
    <row r="140" spans="1:8" ht="19.5" customHeight="1" x14ac:dyDescent="0.3">
      <c r="A140" s="16" t="s">
        <v>240</v>
      </c>
      <c r="B140" s="30">
        <f>IFERROR(B139*B120,"")</f>
        <v>5850</v>
      </c>
      <c r="C140" s="30">
        <f>IFERROR(C139*B120,"")</f>
        <v>6671.2800000000007</v>
      </c>
      <c r="D140" s="30">
        <f>IFERROR(D139*B120,"")</f>
        <v>7605.2592000000022</v>
      </c>
      <c r="E140" s="30">
        <f>IFERROR(E139*B120,"")</f>
        <v>8669.9954880000041</v>
      </c>
      <c r="F140" s="30">
        <f>IFERROR(F139*B120,"")</f>
        <v>9536.9950368000027</v>
      </c>
      <c r="G140" s="30">
        <f>IFERROR(G139*B120,"")</f>
        <v>10490.694540480004</v>
      </c>
      <c r="H140" s="145"/>
    </row>
    <row r="141" spans="1:8" ht="19.5" customHeight="1" x14ac:dyDescent="0.3">
      <c r="A141" s="34" t="s">
        <v>241</v>
      </c>
      <c r="B141" s="147">
        <f t="shared" ref="B141:G141" si="2">IFERROR(B139-B140,"")</f>
        <v>17550</v>
      </c>
      <c r="C141" s="147">
        <f t="shared" si="2"/>
        <v>20013.840000000004</v>
      </c>
      <c r="D141" s="147">
        <f t="shared" si="2"/>
        <v>22815.777600000009</v>
      </c>
      <c r="E141" s="147">
        <f t="shared" si="2"/>
        <v>26009.986464000012</v>
      </c>
      <c r="F141" s="147">
        <f t="shared" si="2"/>
        <v>28610.985110400008</v>
      </c>
      <c r="G141" s="147">
        <f t="shared" si="2"/>
        <v>31472.083621440011</v>
      </c>
      <c r="H141" s="93"/>
    </row>
    <row r="142" spans="1:8" ht="19.5" customHeight="1" x14ac:dyDescent="0.3">
      <c r="A142" s="148" t="s">
        <v>242</v>
      </c>
      <c r="B142" s="145">
        <f>IFERROR(-B135*B122,"")</f>
        <v>-11000</v>
      </c>
      <c r="C142" s="145">
        <f>IFERROR(-C135*B122,"")</f>
        <v>-12540.000000000002</v>
      </c>
      <c r="D142" s="145">
        <f>IFERROR(-D135*B122,"")</f>
        <v>-14295.600000000004</v>
      </c>
      <c r="E142" s="145">
        <f>IFERROR(-E135*B122,"")</f>
        <v>-16296.984000000006</v>
      </c>
      <c r="F142" s="145">
        <f>IFERROR(-F135*B122,"")</f>
        <v>-17926.682400000009</v>
      </c>
      <c r="G142" s="145">
        <f>IFERROR(-G135*B122,"")</f>
        <v>-19719.350640000011</v>
      </c>
      <c r="H142" s="145"/>
    </row>
    <row r="143" spans="1:8" ht="19.5" customHeight="1" x14ac:dyDescent="0.3">
      <c r="A143" s="148" t="s">
        <v>243</v>
      </c>
      <c r="B143" s="145">
        <f>IFERROR(-B135*B123,"")</f>
        <v>-4400</v>
      </c>
      <c r="C143" s="145">
        <f>IFERROR(-C135*B123,"")</f>
        <v>-5016.0000000000009</v>
      </c>
      <c r="D143" s="145">
        <f>IFERROR(-D135*B123,"")</f>
        <v>-5718.2400000000016</v>
      </c>
      <c r="E143" s="145">
        <f>IFERROR(-E135*B123,"")</f>
        <v>-6518.7936000000027</v>
      </c>
      <c r="F143" s="145">
        <f>IFERROR(-F135*B123,"")</f>
        <v>-7170.6729600000035</v>
      </c>
      <c r="G143" s="145">
        <f>IFERROR(-G135*B123,"")</f>
        <v>-7887.7402560000046</v>
      </c>
      <c r="H143" s="145"/>
    </row>
    <row r="144" spans="1:8" ht="19.5" customHeight="1" x14ac:dyDescent="0.3">
      <c r="A144" s="148" t="s">
        <v>244</v>
      </c>
      <c r="B144" s="145">
        <f t="shared" ref="B144:G144" si="3">IFERROR(B138,"")</f>
        <v>6600</v>
      </c>
      <c r="C144" s="145">
        <f t="shared" si="3"/>
        <v>7524.0000000000009</v>
      </c>
      <c r="D144" s="145">
        <f t="shared" si="3"/>
        <v>8577.36</v>
      </c>
      <c r="E144" s="145">
        <f t="shared" si="3"/>
        <v>9778.1904000000031</v>
      </c>
      <c r="F144" s="145">
        <f t="shared" si="3"/>
        <v>10756.009440000005</v>
      </c>
      <c r="G144" s="145">
        <f t="shared" si="3"/>
        <v>11831.610384000005</v>
      </c>
      <c r="H144" s="145"/>
    </row>
    <row r="145" spans="1:8" ht="24" customHeight="1" x14ac:dyDescent="0.3">
      <c r="A145" s="23" t="s">
        <v>245</v>
      </c>
      <c r="B145" s="149"/>
      <c r="C145" s="95">
        <f t="shared" ref="C145:G145" si="4">IFERROR(C141+C144+C142+C143,"")</f>
        <v>9981.84</v>
      </c>
      <c r="D145" s="95">
        <f t="shared" si="4"/>
        <v>11379.297600000002</v>
      </c>
      <c r="E145" s="95">
        <f t="shared" si="4"/>
        <v>12972.399264000009</v>
      </c>
      <c r="F145" s="95">
        <f t="shared" si="4"/>
        <v>14269.639190400001</v>
      </c>
      <c r="G145" s="95">
        <f t="shared" si="4"/>
        <v>15696.603109440002</v>
      </c>
      <c r="H145" s="93"/>
    </row>
    <row r="146" spans="1:8" ht="4.5" customHeight="1" x14ac:dyDescent="0.3"/>
    <row r="147" spans="1:8" ht="19.5" customHeight="1" x14ac:dyDescent="0.3">
      <c r="A147" s="150" t="s">
        <v>246</v>
      </c>
      <c r="B147" s="151"/>
      <c r="C147" s="151"/>
      <c r="D147" s="151"/>
      <c r="E147" s="151"/>
      <c r="F147" s="151"/>
      <c r="G147" s="151"/>
      <c r="H147" s="152">
        <f>IFERROR(G145*(1+B118)/(B115-B118),"")</f>
        <v>274690.55441520008</v>
      </c>
    </row>
    <row r="148" spans="1:8" ht="18" customHeight="1" x14ac:dyDescent="0.3">
      <c r="A148" s="36" t="s">
        <v>247</v>
      </c>
      <c r="B148" s="153" t="s">
        <v>248</v>
      </c>
      <c r="C148" s="154">
        <f>IFERROR(1/(1+B115)^1,"")</f>
        <v>0.9009009009009008</v>
      </c>
      <c r="D148" s="154">
        <f>IFERROR(1/(1+B115)^2,"")</f>
        <v>0.8116224332440547</v>
      </c>
      <c r="E148" s="154">
        <f>IFERROR(1/(1+B115)^3,"")</f>
        <v>0.73119138130095018</v>
      </c>
      <c r="F148" s="154">
        <f>IFERROR(1/(1+B115)^4,"")</f>
        <v>0.65873097414500015</v>
      </c>
      <c r="G148" s="154">
        <f>IFERROR(1/(1+B115)^5,"")</f>
        <v>0.5934513280585586</v>
      </c>
      <c r="H148" s="155">
        <f>IFERROR(1/(1+B115)^5,"")</f>
        <v>0.5934513280585586</v>
      </c>
    </row>
    <row r="149" spans="1:8" ht="19.5" customHeight="1" x14ac:dyDescent="0.3">
      <c r="A149" s="23" t="s">
        <v>249</v>
      </c>
      <c r="B149" s="156" t="s">
        <v>248</v>
      </c>
      <c r="C149" s="95">
        <f>IFERROR(C145*C148,"")</f>
        <v>8992.6486486486483</v>
      </c>
      <c r="D149" s="95">
        <f>IFERROR(D145*D148,"")</f>
        <v>9235.6932067202324</v>
      </c>
      <c r="E149" s="95">
        <f>IFERROR(E145*E148,"")</f>
        <v>9485.3065366315968</v>
      </c>
      <c r="F149" s="95">
        <f>IFERROR(F145*F148,"")</f>
        <v>9399.8533245898634</v>
      </c>
      <c r="G149" s="95">
        <f>IFERROR(G145*G148,"")</f>
        <v>9315.1699613052697</v>
      </c>
      <c r="H149" s="93">
        <f>IFERROR(H147*H148,"")</f>
        <v>163015.47432284226</v>
      </c>
    </row>
    <row r="150" spans="1:8" ht="4.5" customHeight="1" x14ac:dyDescent="0.3"/>
    <row r="151" spans="1:8" ht="25.5" customHeight="1" x14ac:dyDescent="0.3">
      <c r="A151" s="157" t="s">
        <v>250</v>
      </c>
      <c r="B151" s="158">
        <f>IFERROR(C149+D149+E149+F149+G149+H149,"")</f>
        <v>209444.14600073788</v>
      </c>
      <c r="C151" s="159" t="s">
        <v>80</v>
      </c>
      <c r="D151" s="160"/>
      <c r="E151" s="160"/>
      <c r="F151" s="160"/>
      <c r="G151" s="160"/>
      <c r="H151" s="160"/>
    </row>
    <row r="152" spans="1:8" ht="19.5" customHeight="1" x14ac:dyDescent="0.3">
      <c r="A152" s="161" t="s">
        <v>251</v>
      </c>
      <c r="B152" s="162">
        <f>IFERROR(B151-B11+B12,"")</f>
        <v>149444.14600073788</v>
      </c>
      <c r="C152" s="163" t="s">
        <v>80</v>
      </c>
      <c r="D152" s="149"/>
      <c r="E152" s="149"/>
      <c r="F152" s="149"/>
      <c r="G152" s="149"/>
      <c r="H152" s="149"/>
    </row>
    <row r="153" spans="1:8" ht="30" customHeight="1" x14ac:dyDescent="0.3">
      <c r="A153" s="164" t="s">
        <v>252</v>
      </c>
      <c r="B153" s="165">
        <f>IFERROR(B152/B7,"")</f>
        <v>1067.4581857195562</v>
      </c>
      <c r="C153" s="166" t="s">
        <v>39</v>
      </c>
      <c r="D153" s="167"/>
      <c r="E153" s="167"/>
      <c r="F153" s="167"/>
      <c r="G153" s="167"/>
      <c r="H153" s="167"/>
    </row>
    <row r="154" spans="1:8" ht="19.5" customHeight="1" x14ac:dyDescent="0.3">
      <c r="A154" s="19" t="s">
        <v>253</v>
      </c>
      <c r="B154" s="168">
        <f>IFERROR((B153-B6)/B6,"")</f>
        <v>-0.70348383730012332</v>
      </c>
      <c r="C154" s="169" t="s">
        <v>47</v>
      </c>
      <c r="D154" s="170"/>
      <c r="E154" s="170"/>
      <c r="F154" s="170"/>
      <c r="G154" s="170"/>
      <c r="H154" s="170"/>
    </row>
    <row r="155" spans="1:8" ht="9.75" customHeight="1" x14ac:dyDescent="0.3"/>
    <row r="156" spans="1:8" ht="21.75" customHeight="1" x14ac:dyDescent="0.3">
      <c r="A156" s="220" t="s">
        <v>254</v>
      </c>
      <c r="B156" s="220"/>
      <c r="C156" s="220"/>
      <c r="D156" s="220"/>
      <c r="E156" s="220"/>
      <c r="F156" s="220"/>
      <c r="G156" s="220"/>
      <c r="H156" s="220"/>
    </row>
    <row r="157" spans="1:8" ht="19.5" customHeight="1" x14ac:dyDescent="0.3">
      <c r="A157" s="171" t="s">
        <v>255</v>
      </c>
      <c r="B157" s="218" t="s">
        <v>256</v>
      </c>
      <c r="C157" s="218"/>
      <c r="D157" s="218"/>
      <c r="E157" s="218"/>
      <c r="F157" s="218"/>
      <c r="G157" s="218"/>
      <c r="H157" s="218"/>
    </row>
    <row r="158" spans="1:8" ht="19.5" customHeight="1" x14ac:dyDescent="0.3">
      <c r="A158" s="171" t="s">
        <v>257</v>
      </c>
      <c r="B158" s="218" t="s">
        <v>258</v>
      </c>
      <c r="C158" s="218"/>
      <c r="D158" s="218"/>
      <c r="E158" s="218"/>
      <c r="F158" s="218"/>
      <c r="G158" s="218"/>
      <c r="H158" s="218"/>
    </row>
    <row r="159" spans="1:8" ht="19.5" customHeight="1" x14ac:dyDescent="0.3">
      <c r="A159" s="171" t="s">
        <v>259</v>
      </c>
      <c r="B159" s="218" t="s">
        <v>260</v>
      </c>
      <c r="C159" s="218"/>
      <c r="D159" s="218"/>
      <c r="E159" s="218"/>
      <c r="F159" s="218"/>
      <c r="G159" s="218"/>
      <c r="H159" s="218"/>
    </row>
    <row r="160" spans="1:8" ht="19.5" customHeight="1" x14ac:dyDescent="0.3">
      <c r="A160" s="171" t="s">
        <v>261</v>
      </c>
      <c r="B160" s="218" t="s">
        <v>262</v>
      </c>
      <c r="C160" s="218"/>
      <c r="D160" s="218"/>
      <c r="E160" s="218"/>
      <c r="F160" s="218"/>
      <c r="G160" s="218"/>
      <c r="H160" s="218"/>
    </row>
    <row r="161" spans="1:8" ht="19.5" customHeight="1" x14ac:dyDescent="0.3">
      <c r="A161" s="171" t="s">
        <v>263</v>
      </c>
      <c r="B161" s="218" t="s">
        <v>264</v>
      </c>
      <c r="C161" s="218"/>
      <c r="D161" s="218"/>
      <c r="E161" s="218"/>
      <c r="F161" s="218"/>
      <c r="G161" s="218"/>
      <c r="H161" s="218"/>
    </row>
    <row r="162" spans="1:8" ht="19.5" customHeight="1" x14ac:dyDescent="0.3">
      <c r="A162" s="171" t="s">
        <v>265</v>
      </c>
      <c r="B162" s="218" t="s">
        <v>319</v>
      </c>
      <c r="C162" s="218"/>
      <c r="D162" s="218"/>
      <c r="E162" s="218"/>
      <c r="F162" s="218"/>
      <c r="G162" s="218"/>
      <c r="H162" s="218"/>
    </row>
    <row r="163" spans="1:8" ht="7.5" customHeight="1" x14ac:dyDescent="0.3"/>
    <row r="164" spans="1:8" ht="36" customHeight="1" x14ac:dyDescent="0.3">
      <c r="A164" s="219" t="s">
        <v>267</v>
      </c>
      <c r="B164" s="219"/>
      <c r="C164" s="219"/>
      <c r="D164" s="219"/>
      <c r="E164" s="219"/>
      <c r="F164" s="219"/>
      <c r="G164" s="219"/>
      <c r="H164" s="219"/>
    </row>
  </sheetData>
  <mergeCells count="38">
    <mergeCell ref="A1:C1"/>
    <mergeCell ref="A2:C2"/>
    <mergeCell ref="A4:C4"/>
    <mergeCell ref="A14:C14"/>
    <mergeCell ref="A18:C18"/>
    <mergeCell ref="A23:C23"/>
    <mergeCell ref="A27:C27"/>
    <mergeCell ref="A31:C31"/>
    <mergeCell ref="A35:C35"/>
    <mergeCell ref="A44:C44"/>
    <mergeCell ref="A50:C50"/>
    <mergeCell ref="A51:C51"/>
    <mergeCell ref="A53:C53"/>
    <mergeCell ref="A58:C58"/>
    <mergeCell ref="A64:C64"/>
    <mergeCell ref="A69:C69"/>
    <mergeCell ref="A73:C73"/>
    <mergeCell ref="A76:C76"/>
    <mergeCell ref="A77:C77"/>
    <mergeCell ref="A79:C79"/>
    <mergeCell ref="A83:C83"/>
    <mergeCell ref="A95:C95"/>
    <mergeCell ref="A99:C99"/>
    <mergeCell ref="A108:C108"/>
    <mergeCell ref="A111:H111"/>
    <mergeCell ref="B162:H162"/>
    <mergeCell ref="A164:H164"/>
    <mergeCell ref="A93:C93"/>
    <mergeCell ref="B157:H157"/>
    <mergeCell ref="B158:H158"/>
    <mergeCell ref="B159:H159"/>
    <mergeCell ref="B160:H160"/>
    <mergeCell ref="B161:H161"/>
    <mergeCell ref="A112:H112"/>
    <mergeCell ref="A114:H114"/>
    <mergeCell ref="A125:H125"/>
    <mergeCell ref="A133:H133"/>
    <mergeCell ref="A156:H156"/>
  </mergeCells>
  <conditionalFormatting sqref="B56">
    <cfRule type="expression" dxfId="143" priority="2">
      <formula>B42&gt;0.2</formula>
    </cfRule>
    <cfRule type="expression" dxfId="142" priority="3">
      <formula>AND(B42&gt;0.1,B42&lt;=0.2)</formula>
    </cfRule>
    <cfRule type="expression" dxfId="141" priority="4">
      <formula>AND(B42&gt;=-0.1,B42&lt;=0.1)</formula>
    </cfRule>
    <cfRule type="expression" dxfId="140" priority="5">
      <formula>AND(B42&gt;=-0.2,B42&lt;-0.1)</formula>
    </cfRule>
    <cfRule type="expression" dxfId="139" priority="6">
      <formula>B42&lt;-0.2</formula>
    </cfRule>
  </conditionalFormatting>
  <conditionalFormatting sqref="B59">
    <cfRule type="expression" dxfId="138" priority="7">
      <formula>B25&gt;0.2</formula>
    </cfRule>
    <cfRule type="expression" dxfId="137" priority="8">
      <formula>AND(B25&gt;0.1,B25&lt;=0.2)</formula>
    </cfRule>
    <cfRule type="expression" dxfId="136" priority="9">
      <formula>AND(B25&gt;=-0.1,B25&lt;=0.1)</formula>
    </cfRule>
    <cfRule type="expression" dxfId="135" priority="10">
      <formula>AND(B25&gt;=-0.2,B25&lt;-0.1)</formula>
    </cfRule>
    <cfRule type="expression" dxfId="134" priority="11">
      <formula>B25&lt;-0.2</formula>
    </cfRule>
  </conditionalFormatting>
  <conditionalFormatting sqref="B60:B61">
    <cfRule type="expression" dxfId="133" priority="12">
      <formula>B29&gt;0.2</formula>
    </cfRule>
    <cfRule type="expression" dxfId="132" priority="13">
      <formula>AND(B29&gt;0.1,B29&lt;=0.2)</formula>
    </cfRule>
    <cfRule type="expression" dxfId="131" priority="14">
      <formula>AND(B29&gt;=-0.1,B29&lt;=0.1)</formula>
    </cfRule>
    <cfRule type="expression" dxfId="130" priority="15">
      <formula>AND(B29&gt;=-0.2,B29&lt;-0.1)</formula>
    </cfRule>
    <cfRule type="expression" dxfId="129" priority="16">
      <formula>B29&lt;-0.2</formula>
    </cfRule>
  </conditionalFormatting>
  <conditionalFormatting sqref="B62">
    <cfRule type="expression" dxfId="128" priority="94">
      <formula>B30&gt;0.2</formula>
    </cfRule>
    <cfRule type="expression" dxfId="127" priority="95">
      <formula>AND(B30&gt;0.1,B30&lt;=0.2)</formula>
    </cfRule>
    <cfRule type="expression" dxfId="126" priority="96">
      <formula>AND(B30&gt;=-0.1,B30&lt;=0.1)</formula>
    </cfRule>
    <cfRule type="expression" dxfId="125" priority="97">
      <formula>AND(B30&gt;=-0.2,B30&lt;-0.1)</formula>
    </cfRule>
    <cfRule type="expression" dxfId="124" priority="98">
      <formula>B30&lt;-0.2</formula>
    </cfRule>
  </conditionalFormatting>
  <conditionalFormatting sqref="B70">
    <cfRule type="expression" dxfId="123" priority="22">
      <formula>B42&gt;0.2</formula>
    </cfRule>
    <cfRule type="expression" dxfId="122" priority="23">
      <formula>AND(B42&gt;0.1,B42&lt;=0.2)</formula>
    </cfRule>
    <cfRule type="expression" dxfId="121" priority="24">
      <formula>AND(B42&gt;=-0.1,B42&lt;=0.1)</formula>
    </cfRule>
    <cfRule type="expression" dxfId="120" priority="25">
      <formula>AND(B42&gt;=-0.2,B42&lt;-0.1)</formula>
    </cfRule>
    <cfRule type="expression" dxfId="119" priority="26">
      <formula>B42&lt;-0.2</formula>
    </cfRule>
  </conditionalFormatting>
  <conditionalFormatting sqref="B71">
    <cfRule type="expression" dxfId="118" priority="27">
      <formula>B42&gt;0.2</formula>
    </cfRule>
    <cfRule type="expression" dxfId="117" priority="28">
      <formula>AND(B42&gt;0.1,B42&lt;=0.2)</formula>
    </cfRule>
    <cfRule type="expression" dxfId="116" priority="29">
      <formula>AND(B42&gt;=-0.1,B42&lt;=0.1)</formula>
    </cfRule>
    <cfRule type="expression" dxfId="115" priority="30">
      <formula>AND(B42&gt;=-0.2,B42&lt;-0.1)</formula>
    </cfRule>
    <cfRule type="expression" dxfId="114" priority="31">
      <formula>B42&lt;-0.2</formula>
    </cfRule>
  </conditionalFormatting>
  <conditionalFormatting sqref="B97">
    <cfRule type="expression" dxfId="113" priority="105">
      <formula>B6&lt;=B41*(1-B80*1.5)</formula>
    </cfRule>
    <cfRule type="expression" dxfId="112" priority="106">
      <formula>AND(B6&gt;B41*(1-B80*1.5),B6&lt;=B41*(1-B80))</formula>
    </cfRule>
    <cfRule type="expression" dxfId="111" priority="107">
      <formula>AND(B6&gt;B41*(1-B80),B6&lt;=B41*(1-B80*0.5))</formula>
    </cfRule>
    <cfRule type="expression" dxfId="110" priority="108">
      <formula>AND(B6&gt;B41*(1-B80*0.5),B6&lt;=B41)</formula>
    </cfRule>
    <cfRule type="expression" dxfId="109" priority="109">
      <formula>AND(B6&gt;B41,B6&lt;=B41*1.15)</formula>
    </cfRule>
    <cfRule type="expression" dxfId="108" priority="110">
      <formula>B6&gt;B41*1.15</formula>
    </cfRule>
  </conditionalFormatting>
  <conditionalFormatting sqref="C85">
    <cfRule type="expression" dxfId="107" priority="111">
      <formula>B6&lt;B85</formula>
    </cfRule>
    <cfRule type="expression" dxfId="106" priority="112">
      <formula>B6&gt;=B85</formula>
    </cfRule>
  </conditionalFormatting>
  <conditionalFormatting sqref="C86">
    <cfRule type="expression" dxfId="105" priority="84">
      <formula>B6&gt;=B86</formula>
    </cfRule>
    <cfRule type="expression" dxfId="104" priority="83">
      <formula>B6&lt;B86</formula>
    </cfRule>
  </conditionalFormatting>
  <conditionalFormatting sqref="C87">
    <cfRule type="expression" dxfId="103" priority="85">
      <formula>B6&lt;B87</formula>
    </cfRule>
    <cfRule type="expression" dxfId="102" priority="86">
      <formula>B6&gt;=B87</formula>
    </cfRule>
  </conditionalFormatting>
  <conditionalFormatting sqref="C88">
    <cfRule type="expression" dxfId="101" priority="87">
      <formula>B6&lt;B88</formula>
    </cfRule>
    <cfRule type="expression" dxfId="100" priority="88">
      <formula>B6&gt;=B88</formula>
    </cfRule>
  </conditionalFormatting>
  <conditionalFormatting sqref="C89">
    <cfRule type="expression" dxfId="99" priority="32">
      <formula>B6&lt;B89</formula>
    </cfRule>
    <cfRule type="expression" dxfId="98" priority="33">
      <formula>B6&gt;=B89</formula>
    </cfRule>
  </conditionalFormatting>
  <conditionalFormatting sqref="C90">
    <cfRule type="expression" dxfId="97" priority="34">
      <formula>B6&lt;B90</formula>
    </cfRule>
    <cfRule type="expression" dxfId="96" priority="35">
      <formula>B6&gt;=B90</formula>
    </cfRule>
  </conditionalFormatting>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65"/>
  <sheetViews>
    <sheetView showGridLines="0" topLeftCell="A81" zoomScaleNormal="100" workbookViewId="0">
      <selection activeCell="A94" sqref="A94:C94"/>
    </sheetView>
  </sheetViews>
  <sheetFormatPr defaultColWidth="8.6640625" defaultRowHeight="14.4" x14ac:dyDescent="0.3"/>
  <cols>
    <col min="1" max="1" width="71.21875" customWidth="1"/>
    <col min="2" max="2" width="25.5546875" customWidth="1"/>
    <col min="3" max="3" width="29.33203125" customWidth="1"/>
    <col min="4" max="7" width="13" customWidth="1"/>
    <col min="8" max="8" width="14" customWidth="1"/>
  </cols>
  <sheetData>
    <row r="1" spans="1:3" ht="31.5" customHeight="1" x14ac:dyDescent="0.3">
      <c r="A1" s="206" t="s">
        <v>320</v>
      </c>
      <c r="B1" s="206"/>
      <c r="C1" s="206"/>
    </row>
    <row r="2" spans="1:3" ht="27.75" customHeight="1" x14ac:dyDescent="0.3">
      <c r="A2" s="207" t="s">
        <v>321</v>
      </c>
      <c r="B2" s="207"/>
      <c r="C2" s="207"/>
    </row>
    <row r="3" spans="1:3" ht="7.5" customHeight="1" x14ac:dyDescent="0.3"/>
    <row r="4" spans="1:3" ht="19.5" customHeight="1" x14ac:dyDescent="0.3">
      <c r="A4" s="208" t="s">
        <v>35</v>
      </c>
      <c r="B4" s="208"/>
      <c r="C4" s="208"/>
    </row>
    <row r="5" spans="1:3" ht="18" customHeight="1" x14ac:dyDescent="0.3">
      <c r="A5" s="179" t="s">
        <v>36</v>
      </c>
      <c r="B5" s="180" t="s">
        <v>322</v>
      </c>
      <c r="C5" s="181"/>
    </row>
    <row r="6" spans="1:3" ht="18" customHeight="1" x14ac:dyDescent="0.3">
      <c r="A6" s="179" t="s">
        <v>38</v>
      </c>
      <c r="B6" s="182">
        <v>155</v>
      </c>
      <c r="C6" s="181" t="s">
        <v>39</v>
      </c>
    </row>
    <row r="7" spans="1:3" ht="18" customHeight="1" x14ac:dyDescent="0.3">
      <c r="A7" s="179" t="s">
        <v>40</v>
      </c>
      <c r="B7" s="183">
        <v>1230</v>
      </c>
      <c r="C7" s="181" t="s">
        <v>41</v>
      </c>
    </row>
    <row r="8" spans="1:3" ht="18" customHeight="1" x14ac:dyDescent="0.3">
      <c r="A8" s="179" t="s">
        <v>42</v>
      </c>
      <c r="B8" s="182">
        <v>90</v>
      </c>
      <c r="C8" s="181" t="s">
        <v>39</v>
      </c>
    </row>
    <row r="9" spans="1:3" ht="18" customHeight="1" x14ac:dyDescent="0.3">
      <c r="A9" s="179" t="s">
        <v>143</v>
      </c>
      <c r="B9" s="182">
        <v>11</v>
      </c>
      <c r="C9" s="181" t="s">
        <v>39</v>
      </c>
    </row>
    <row r="10" spans="1:3" ht="18" customHeight="1" x14ac:dyDescent="0.3">
      <c r="A10" s="179" t="s">
        <v>146</v>
      </c>
      <c r="B10" s="183">
        <v>85000</v>
      </c>
      <c r="C10" s="181" t="s">
        <v>80</v>
      </c>
    </row>
    <row r="11" spans="1:3" ht="18" customHeight="1" x14ac:dyDescent="0.3">
      <c r="A11" s="179" t="s">
        <v>147</v>
      </c>
      <c r="B11" s="183">
        <v>18000</v>
      </c>
      <c r="C11" s="181" t="s">
        <v>80</v>
      </c>
    </row>
    <row r="12" spans="1:3" ht="7.5" customHeight="1" x14ac:dyDescent="0.3"/>
    <row r="13" spans="1:3" ht="19.5" customHeight="1" x14ac:dyDescent="0.3">
      <c r="A13" s="208" t="s">
        <v>45</v>
      </c>
      <c r="B13" s="208"/>
      <c r="C13" s="208"/>
    </row>
    <row r="14" spans="1:3" ht="18" customHeight="1" x14ac:dyDescent="0.3">
      <c r="A14" s="179" t="s">
        <v>145</v>
      </c>
      <c r="B14" s="183">
        <v>220000</v>
      </c>
      <c r="C14" s="181" t="s">
        <v>80</v>
      </c>
    </row>
    <row r="15" spans="1:3" ht="18" customHeight="1" x14ac:dyDescent="0.3">
      <c r="A15" s="179" t="s">
        <v>144</v>
      </c>
      <c r="B15" s="183">
        <v>26000</v>
      </c>
      <c r="C15" s="181" t="s">
        <v>80</v>
      </c>
    </row>
    <row r="16" spans="1:3" ht="18" customHeight="1" x14ac:dyDescent="0.3">
      <c r="A16" s="179" t="s">
        <v>200</v>
      </c>
      <c r="B16" s="191">
        <v>0.11799999999999999</v>
      </c>
      <c r="C16" s="181" t="s">
        <v>47</v>
      </c>
    </row>
    <row r="17" spans="1:3" ht="7.5" customHeight="1" x14ac:dyDescent="0.3"/>
    <row r="18" spans="1:3" ht="19.5" customHeight="1" x14ac:dyDescent="0.3">
      <c r="A18" s="208" t="s">
        <v>54</v>
      </c>
      <c r="B18" s="208"/>
      <c r="C18" s="208"/>
    </row>
    <row r="19" spans="1:3" ht="18" customHeight="1" x14ac:dyDescent="0.3">
      <c r="A19" s="179" t="s">
        <v>178</v>
      </c>
      <c r="B19" s="192">
        <v>7</v>
      </c>
      <c r="C19" s="181" t="s">
        <v>60</v>
      </c>
    </row>
    <row r="20" spans="1:3" ht="18" customHeight="1" x14ac:dyDescent="0.3">
      <c r="A20" s="179" t="s">
        <v>307</v>
      </c>
      <c r="B20" s="192">
        <v>1.8</v>
      </c>
      <c r="C20" s="181" t="s">
        <v>60</v>
      </c>
    </row>
    <row r="21" spans="1:3" ht="18" customHeight="1" x14ac:dyDescent="0.3">
      <c r="A21" s="179" t="s">
        <v>275</v>
      </c>
      <c r="B21" s="192">
        <v>0.8</v>
      </c>
      <c r="C21" s="181" t="s">
        <v>60</v>
      </c>
    </row>
    <row r="22" spans="1:3" ht="7.5" customHeight="1" x14ac:dyDescent="0.3"/>
    <row r="23" spans="1:3" ht="19.5" customHeight="1" x14ac:dyDescent="0.3">
      <c r="A23" s="205" t="s">
        <v>208</v>
      </c>
      <c r="B23" s="205"/>
      <c r="C23" s="205"/>
    </row>
    <row r="24" spans="1:3" ht="18" customHeight="1" x14ac:dyDescent="0.3">
      <c r="A24" s="16" t="s">
        <v>209</v>
      </c>
      <c r="B24" s="17">
        <f>IFERROR((B19*B15-B10+B11)/B7,"")</f>
        <v>93.495934959349597</v>
      </c>
      <c r="C24" s="18" t="s">
        <v>39</v>
      </c>
    </row>
    <row r="25" spans="1:3" ht="18" customHeight="1" x14ac:dyDescent="0.3">
      <c r="A25" s="19" t="s">
        <v>62</v>
      </c>
      <c r="B25" s="20">
        <f>IFERROR((B24-B6)/B6,"")</f>
        <v>-0.39680041961709939</v>
      </c>
      <c r="C25" s="21" t="s">
        <v>47</v>
      </c>
    </row>
    <row r="26" spans="1:3" ht="7.5" customHeight="1" x14ac:dyDescent="0.3"/>
    <row r="27" spans="1:3" ht="19.5" customHeight="1" x14ac:dyDescent="0.3">
      <c r="A27" s="205" t="s">
        <v>309</v>
      </c>
      <c r="B27" s="205"/>
      <c r="C27" s="205"/>
    </row>
    <row r="28" spans="1:3" ht="18" customHeight="1" x14ac:dyDescent="0.3">
      <c r="A28" s="16" t="s">
        <v>61</v>
      </c>
      <c r="B28" s="17">
        <f>IFERROR(B20*B8,"")</f>
        <v>162</v>
      </c>
      <c r="C28" s="18" t="s">
        <v>39</v>
      </c>
    </row>
    <row r="29" spans="1:3" ht="18" customHeight="1" x14ac:dyDescent="0.3">
      <c r="A29" s="19" t="s">
        <v>62</v>
      </c>
      <c r="B29" s="20">
        <f>IFERROR((B28-B6)/B6,"")</f>
        <v>4.5161290322580643E-2</v>
      </c>
      <c r="C29" s="21" t="s">
        <v>47</v>
      </c>
    </row>
    <row r="30" spans="1:3" ht="7.5" customHeight="1" x14ac:dyDescent="0.3"/>
    <row r="31" spans="1:3" ht="19.5" customHeight="1" x14ac:dyDescent="0.3">
      <c r="A31" s="205" t="s">
        <v>323</v>
      </c>
      <c r="B31" s="205"/>
      <c r="C31" s="205"/>
    </row>
    <row r="32" spans="1:3" ht="18" customHeight="1" x14ac:dyDescent="0.3">
      <c r="A32" s="16" t="s">
        <v>277</v>
      </c>
      <c r="B32" s="17">
        <f>IFERROR((B21*B14-B10+B11)/B7,"")</f>
        <v>88.617886178861795</v>
      </c>
      <c r="C32" s="18" t="s">
        <v>39</v>
      </c>
    </row>
    <row r="33" spans="1:3" ht="18" customHeight="1" x14ac:dyDescent="0.3">
      <c r="A33" s="19" t="s">
        <v>62</v>
      </c>
      <c r="B33" s="20">
        <f>IFERROR((B32-B6)/B6,"")</f>
        <v>-0.42827170207185938</v>
      </c>
      <c r="C33" s="21" t="s">
        <v>47</v>
      </c>
    </row>
    <row r="34" spans="1:3" ht="7.5" customHeight="1" x14ac:dyDescent="0.3"/>
    <row r="35" spans="1:3" ht="19.5" customHeight="1" x14ac:dyDescent="0.3">
      <c r="A35" s="200" t="s">
        <v>71</v>
      </c>
      <c r="B35" s="200"/>
      <c r="C35" s="200"/>
    </row>
    <row r="36" spans="1:3" ht="19.5" customHeight="1" x14ac:dyDescent="0.3">
      <c r="A36" s="23" t="s">
        <v>38</v>
      </c>
      <c r="B36" s="24">
        <f>B6</f>
        <v>155</v>
      </c>
      <c r="C36" s="25" t="s">
        <v>39</v>
      </c>
    </row>
    <row r="37" spans="1:3" ht="19.5" customHeight="1" x14ac:dyDescent="0.3">
      <c r="A37" s="23" t="s">
        <v>183</v>
      </c>
      <c r="B37" s="24">
        <f>IFERROR(B24,"")</f>
        <v>93.495934959349597</v>
      </c>
      <c r="C37" s="25" t="s">
        <v>39</v>
      </c>
    </row>
    <row r="38" spans="1:3" ht="19.5" customHeight="1" x14ac:dyDescent="0.3">
      <c r="A38" s="23" t="s">
        <v>181</v>
      </c>
      <c r="B38" s="24" t="str">
        <f>B154</f>
        <v>N/A</v>
      </c>
      <c r="C38" s="25" t="s">
        <v>39</v>
      </c>
    </row>
    <row r="39" spans="1:3" ht="19.5" customHeight="1" x14ac:dyDescent="0.3">
      <c r="A39" s="23" t="s">
        <v>312</v>
      </c>
      <c r="B39" s="24">
        <f>IFERROR(B28,"")</f>
        <v>162</v>
      </c>
      <c r="C39" s="25" t="s">
        <v>39</v>
      </c>
    </row>
    <row r="40" spans="1:3" ht="19.5" customHeight="1" x14ac:dyDescent="0.3">
      <c r="A40" s="23" t="s">
        <v>278</v>
      </c>
      <c r="B40" s="24">
        <f>IFERROR(B32,"")</f>
        <v>88.617886178861795</v>
      </c>
      <c r="C40" s="25" t="s">
        <v>39</v>
      </c>
    </row>
    <row r="41" spans="1:3" ht="19.5" customHeight="1" x14ac:dyDescent="0.3">
      <c r="A41" s="139" t="s">
        <v>76</v>
      </c>
      <c r="B41" s="99">
        <f>IFERROR(AVERAGE(B37:B40),"")</f>
        <v>114.70460704607046</v>
      </c>
      <c r="C41" s="28" t="s">
        <v>39</v>
      </c>
    </row>
    <row r="42" spans="1:3" ht="19.5" customHeight="1" x14ac:dyDescent="0.3">
      <c r="A42" s="139" t="s">
        <v>77</v>
      </c>
      <c r="B42" s="107">
        <f>IFERROR((B41-B6)/B6,"")</f>
        <v>-0.25997027712212606</v>
      </c>
      <c r="C42" s="28" t="s">
        <v>47</v>
      </c>
    </row>
    <row r="43" spans="1:3" ht="7.5" customHeight="1" x14ac:dyDescent="0.3"/>
    <row r="44" spans="1:3" ht="19.5" customHeight="1" x14ac:dyDescent="0.3">
      <c r="A44" s="199" t="s">
        <v>78</v>
      </c>
      <c r="B44" s="199"/>
      <c r="C44" s="199"/>
    </row>
    <row r="45" spans="1:3" ht="18" customHeight="1" x14ac:dyDescent="0.3">
      <c r="A45" s="16" t="s">
        <v>79</v>
      </c>
      <c r="B45" s="30">
        <f>IFERROR(B6*B7,"")</f>
        <v>190650</v>
      </c>
      <c r="C45" s="18" t="s">
        <v>80</v>
      </c>
    </row>
    <row r="46" spans="1:3" ht="18" customHeight="1" x14ac:dyDescent="0.3">
      <c r="A46" s="16" t="s">
        <v>213</v>
      </c>
      <c r="B46" s="30">
        <f>IFERROR(B10-B11,"")</f>
        <v>67000</v>
      </c>
      <c r="C46" s="18" t="s">
        <v>80</v>
      </c>
    </row>
    <row r="47" spans="1:3" ht="18" customHeight="1" x14ac:dyDescent="0.3">
      <c r="A47" s="16" t="s">
        <v>184</v>
      </c>
      <c r="B47" s="22">
        <f>IFERROR((B6*B7+B10-B11)/B15,"")</f>
        <v>9.9096153846153854</v>
      </c>
      <c r="C47" s="18" t="s">
        <v>60</v>
      </c>
    </row>
    <row r="48" spans="1:3" ht="18" customHeight="1" x14ac:dyDescent="0.3">
      <c r="A48" s="16" t="s">
        <v>324</v>
      </c>
      <c r="B48" s="22">
        <f>IFERROR(B6/B8,"")</f>
        <v>1.7222222222222223</v>
      </c>
      <c r="C48" s="18" t="s">
        <v>60</v>
      </c>
    </row>
    <row r="49" spans="1:3" ht="18" customHeight="1" x14ac:dyDescent="0.3">
      <c r="A49" s="16" t="s">
        <v>200</v>
      </c>
      <c r="B49" s="31">
        <f>B16</f>
        <v>0.11799999999999999</v>
      </c>
      <c r="C49" s="18" t="s">
        <v>47</v>
      </c>
    </row>
    <row r="51" spans="1:3" ht="33.75" customHeight="1" x14ac:dyDescent="0.3">
      <c r="A51" s="203" t="s">
        <v>84</v>
      </c>
      <c r="B51" s="203"/>
      <c r="C51" s="203"/>
    </row>
    <row r="52" spans="1:3" ht="24" customHeight="1" x14ac:dyDescent="0.3">
      <c r="A52" s="204" t="s">
        <v>85</v>
      </c>
      <c r="B52" s="204"/>
      <c r="C52" s="204"/>
    </row>
    <row r="53" spans="1:3" ht="7.5" customHeight="1" x14ac:dyDescent="0.3"/>
    <row r="54" spans="1:3" ht="19.5" customHeight="1" x14ac:dyDescent="0.3">
      <c r="A54" s="199" t="s">
        <v>86</v>
      </c>
      <c r="B54" s="199"/>
      <c r="C54" s="199"/>
    </row>
    <row r="55" spans="1:3" ht="18" customHeight="1" x14ac:dyDescent="0.3">
      <c r="A55" s="11" t="s">
        <v>38</v>
      </c>
      <c r="B55" s="32">
        <f>B6</f>
        <v>155</v>
      </c>
      <c r="C55" s="33" t="s">
        <v>39</v>
      </c>
    </row>
    <row r="56" spans="1:3" ht="18" customHeight="1" x14ac:dyDescent="0.3">
      <c r="A56" s="11" t="s">
        <v>76</v>
      </c>
      <c r="B56" s="32">
        <f>B41</f>
        <v>114.70460704607046</v>
      </c>
      <c r="C56" s="33" t="s">
        <v>39</v>
      </c>
    </row>
    <row r="57" spans="1:3" ht="19.5" customHeight="1" x14ac:dyDescent="0.3">
      <c r="A57" s="34" t="s">
        <v>87</v>
      </c>
      <c r="B57" s="35">
        <f>B42</f>
        <v>-0.25997027712212606</v>
      </c>
      <c r="C57" s="36" t="s">
        <v>47</v>
      </c>
    </row>
    <row r="58" spans="1:3" ht="7.5" customHeight="1" x14ac:dyDescent="0.3"/>
    <row r="59" spans="1:3" ht="19.5" customHeight="1" x14ac:dyDescent="0.3">
      <c r="A59" s="199" t="s">
        <v>88</v>
      </c>
      <c r="B59" s="199"/>
      <c r="C59" s="199"/>
    </row>
    <row r="60" spans="1:3" ht="21.75" customHeight="1" x14ac:dyDescent="0.3">
      <c r="A60" s="11" t="s">
        <v>216</v>
      </c>
      <c r="B60" s="37" t="str">
        <f>IF(B25="","— Enter Data —",IF(B25&gt;0.2,"STRONG BUY",IF(B25&gt;0.1,"BUY",IF(B25&gt;=-0.1,"HOLD",IF(B25&gt;=-0.2,"SELL","STRONG SELL")))))</f>
        <v>STRONG SELL</v>
      </c>
      <c r="C60" s="38"/>
    </row>
    <row r="61" spans="1:3" ht="21.75" customHeight="1" x14ac:dyDescent="0.3">
      <c r="A61" s="11" t="s">
        <v>315</v>
      </c>
      <c r="B61" s="37" t="str">
        <f>IF(B29="","— Enter Data —",IF(B29&gt;0.2,"STRONG BUY",IF(B29&gt;0.1,"BUY",IF(B29&gt;=-0.1,"HOLD",IF(B29&gt;=-0.2,"SELL","STRONG SELL")))))</f>
        <v>HOLD</v>
      </c>
      <c r="C61" s="38"/>
    </row>
    <row r="62" spans="1:3" ht="21.75" customHeight="1" x14ac:dyDescent="0.3">
      <c r="A62" s="11" t="s">
        <v>325</v>
      </c>
      <c r="B62" s="37" t="str">
        <f>IF(B33="","— Enter Data —",IF(B33&gt;0.2,"STRONG BUY",IF(B33&gt;0.1,"BUY",IF(B33&gt;=-0.1,"HOLD",IF(B33&gt;=-0.2,"SELL","STRONG SELL")))))</f>
        <v>STRONG SELL</v>
      </c>
      <c r="C62" s="38"/>
    </row>
    <row r="63" spans="1:3" ht="21.75" customHeight="1" x14ac:dyDescent="0.3">
      <c r="A63" s="11" t="s">
        <v>354</v>
      </c>
      <c r="B63" s="37" t="str">
        <f>IF(B155="N/A","— Enter Data —",IF(B155&gt;0.2,"STRONG BUY",IF(B155&gt;0.1,"BUY",IF(B155&gt;=-0.1,"HOLD",IF(B155&gt;=-0.2,"SELL","STRONG SELL")))))</f>
        <v>— Enter Data —</v>
      </c>
      <c r="C63" s="38"/>
    </row>
    <row r="64" spans="1:3" ht="7.5" customHeight="1" x14ac:dyDescent="0.3"/>
    <row r="65" spans="1:3" ht="19.5" customHeight="1" x14ac:dyDescent="0.3">
      <c r="A65" s="199" t="s">
        <v>93</v>
      </c>
      <c r="B65" s="199"/>
      <c r="C65" s="199"/>
    </row>
    <row r="66" spans="1:3" ht="18" customHeight="1" x14ac:dyDescent="0.3">
      <c r="A66" s="11" t="s">
        <v>94</v>
      </c>
      <c r="B66" s="39">
        <f>COUNTIF(B60,"*BUY*")+COUNTIF(B61,"*BUY*")+COUNTIF(B63,"*BUY*")+COUNTIF(B62,"*BUY*")</f>
        <v>0</v>
      </c>
      <c r="C66" s="33" t="s">
        <v>95</v>
      </c>
    </row>
    <row r="67" spans="1:3" ht="18" customHeight="1" x14ac:dyDescent="0.3">
      <c r="A67" s="11" t="s">
        <v>96</v>
      </c>
      <c r="B67" s="40">
        <f>COUNTIF(B60,"HOLD")+COUNTIF(B61,"HOLD")+COUNTIF(B63,"HOLD")+COUNTIF(B62,"HOLD")</f>
        <v>1</v>
      </c>
      <c r="C67" s="33" t="s">
        <v>95</v>
      </c>
    </row>
    <row r="68" spans="1:3" ht="18" customHeight="1" x14ac:dyDescent="0.3">
      <c r="A68" s="11" t="s">
        <v>97</v>
      </c>
      <c r="B68" s="41">
        <f>COUNTIF(B60,"*SELL*")+COUNTIF(B61,"*SELL*")+COUNTIF(B63,"*SELL*")+COUNTIF(B62,"*SELL*")</f>
        <v>2</v>
      </c>
      <c r="C68" s="33" t="s">
        <v>95</v>
      </c>
    </row>
    <row r="69" spans="1:3" ht="9.75" customHeight="1" x14ac:dyDescent="0.3"/>
    <row r="70" spans="1:3" ht="19.5" customHeight="1" x14ac:dyDescent="0.3">
      <c r="A70" s="200" t="s">
        <v>98</v>
      </c>
      <c r="B70" s="200"/>
      <c r="C70" s="200"/>
    </row>
    <row r="71" spans="1:3" ht="37.5" customHeight="1" x14ac:dyDescent="0.3">
      <c r="A71" s="42" t="s">
        <v>99</v>
      </c>
      <c r="B71" s="43" t="str">
        <f>IF(B42="","— Enter Data —",IF(B42&gt;0.2,"STRONG BUY",IF(B42&gt;0.1,"BUY",IF(B42&gt;=-0.1,"HOLD",IF(B42&gt;=-0.2,"SELL","STRONG SELL")))))</f>
        <v>STRONG SELL</v>
      </c>
      <c r="C71" s="11"/>
    </row>
    <row r="72" spans="1:3" ht="18" customHeight="1" x14ac:dyDescent="0.3">
      <c r="A72" s="44" t="s">
        <v>100</v>
      </c>
      <c r="B72" s="45">
        <f>B42</f>
        <v>-0.25997027712212606</v>
      </c>
      <c r="C72" s="33" t="s">
        <v>101</v>
      </c>
    </row>
    <row r="73" spans="1:3" ht="6" customHeight="1" x14ac:dyDescent="0.3"/>
    <row r="74" spans="1:3" ht="36" customHeight="1" x14ac:dyDescent="0.3">
      <c r="A74" s="201" t="s">
        <v>102</v>
      </c>
      <c r="B74" s="201"/>
      <c r="C74" s="201"/>
    </row>
    <row r="77" spans="1:3" ht="33.75" customHeight="1" x14ac:dyDescent="0.3">
      <c r="A77" s="202" t="s">
        <v>103</v>
      </c>
      <c r="B77" s="202"/>
      <c r="C77" s="202"/>
    </row>
    <row r="78" spans="1:3" ht="25.5" customHeight="1" x14ac:dyDescent="0.3">
      <c r="A78" s="198" t="s">
        <v>104</v>
      </c>
      <c r="B78" s="198"/>
      <c r="C78" s="198"/>
    </row>
    <row r="79" spans="1:3" ht="7.5" customHeight="1" x14ac:dyDescent="0.3"/>
    <row r="80" spans="1:3" ht="19.5" customHeight="1" x14ac:dyDescent="0.3">
      <c r="A80" s="196" t="s">
        <v>105</v>
      </c>
      <c r="B80" s="196"/>
      <c r="C80" s="196"/>
    </row>
    <row r="81" spans="1:3" ht="19.5" customHeight="1" x14ac:dyDescent="0.3">
      <c r="A81" s="11" t="s">
        <v>106</v>
      </c>
      <c r="B81" s="178">
        <v>0.3</v>
      </c>
      <c r="C81" s="33" t="s">
        <v>326</v>
      </c>
    </row>
    <row r="82" spans="1:3" ht="19.5" customHeight="1" x14ac:dyDescent="0.3">
      <c r="A82" s="11" t="s">
        <v>108</v>
      </c>
      <c r="B82" s="178">
        <v>0.15</v>
      </c>
      <c r="C82" s="33" t="s">
        <v>300</v>
      </c>
    </row>
    <row r="83" spans="1:3" ht="7.5" customHeight="1" x14ac:dyDescent="0.3"/>
    <row r="84" spans="1:3" ht="19.5" customHeight="1" x14ac:dyDescent="0.3">
      <c r="A84" s="197" t="s">
        <v>110</v>
      </c>
      <c r="B84" s="197"/>
      <c r="C84" s="197"/>
    </row>
    <row r="85" spans="1:3" ht="18" customHeight="1" x14ac:dyDescent="0.3">
      <c r="A85" s="46" t="s">
        <v>111</v>
      </c>
      <c r="B85" s="46" t="s">
        <v>112</v>
      </c>
      <c r="C85" s="46" t="s">
        <v>113</v>
      </c>
    </row>
    <row r="86" spans="1:3" ht="25.5" customHeight="1" x14ac:dyDescent="0.3">
      <c r="A86" s="47" t="s">
        <v>114</v>
      </c>
      <c r="B86" s="110">
        <f>IFERROR(B41*(1-B81*1.5),"")</f>
        <v>63.087533875338764</v>
      </c>
      <c r="C86" s="49" t="str">
        <f>IF(OR(B6="",B86=""),"—",IF(ABS(B6-B86)/B86&lt;0.005,"  ◆  CMP IS HERE",IF(B6&lt;B86,"  ✅  BELOW — ENTRY OPEN","  ⬆  ABOVE — NOT YET")))</f>
        <v xml:space="preserve">  ⬆  ABOVE — NOT YET</v>
      </c>
    </row>
    <row r="87" spans="1:3" ht="25.5" customHeight="1" x14ac:dyDescent="0.3">
      <c r="A87" s="50" t="s">
        <v>115</v>
      </c>
      <c r="B87" s="114">
        <f>IFERROR(B41*(1-B81),"")</f>
        <v>80.293224932249316</v>
      </c>
      <c r="C87" s="52" t="str">
        <f>IF(OR(B6="",B87=""),"—",IF(ABS(B6-B87)/B87&lt;0.005,"  ◆  CMP IS HERE",IF(B6&lt;B87,"  ✅  BELOW — ENTRY OPEN","  ⬆  ABOVE — NOT YET")))</f>
        <v xml:space="preserve">  ⬆  ABOVE — NOT YET</v>
      </c>
    </row>
    <row r="88" spans="1:3" ht="25.5" customHeight="1" x14ac:dyDescent="0.3">
      <c r="A88" s="53" t="s">
        <v>116</v>
      </c>
      <c r="B88" s="118">
        <f>IFERROR(B41*(1-B81*0.5),"")</f>
        <v>97.498915989159897</v>
      </c>
      <c r="C88" s="55" t="str">
        <f>IF(OR(B6="",B88=""),"—",IF(ABS(B6-B88)/B88&lt;0.005,"  ◆  CMP IS HERE",IF(B6&lt;B88,"  ✅  BELOW — ENTRY OPEN","  ⬆  ABOVE — NOT YET")))</f>
        <v xml:space="preserve">  ⬆  ABOVE — NOT YET</v>
      </c>
    </row>
    <row r="89" spans="1:3" ht="25.5" customHeight="1" x14ac:dyDescent="0.3">
      <c r="A89" s="56" t="s">
        <v>117</v>
      </c>
      <c r="B89" s="122">
        <f>B41</f>
        <v>114.70460704607046</v>
      </c>
      <c r="C89" s="58" t="str">
        <f>IF(OR(B6="",B89=""),"—",IF(ABS(B6-B89)/B89&lt;0.005,"  ◆  CMP IS HERE",IF(B6&lt;B89,"  ✅  BELOW — ENTRY OPEN","  ⬆  ABOVE — NOT YET")))</f>
        <v xml:space="preserve">  ⬆  ABOVE — NOT YET</v>
      </c>
    </row>
    <row r="90" spans="1:3" ht="25.5" customHeight="1" x14ac:dyDescent="0.3">
      <c r="A90" s="59" t="s">
        <v>118</v>
      </c>
      <c r="B90" s="126">
        <f>IFERROR(B41*1.15,"")</f>
        <v>131.91029810298102</v>
      </c>
      <c r="C90" s="61" t="str">
        <f>IF(OR(B6="",B90=""),"—",IF(ABS(B6-B90)/B90&lt;0.005,"  ◆  CMP IS HERE",IF(B6&lt;B90,"  ✅  BELOW — ENTRY OPEN","  ⬆  ABOVE — NOT YET")))</f>
        <v xml:space="preserve">  ⬆  ABOVE — NOT YET</v>
      </c>
    </row>
    <row r="91" spans="1:3" ht="25.5" customHeight="1" x14ac:dyDescent="0.3">
      <c r="A91" s="62" t="s">
        <v>119</v>
      </c>
      <c r="B91" s="130">
        <f>IFERROR(B41*1.25,"")</f>
        <v>143.38075880758808</v>
      </c>
      <c r="C91" s="64" t="str">
        <f>IF(OR(B6="",B91=""),"—",IF(ABS(B6-B91)/B91&lt;0.005,"  ◆  CMP IS HERE",IF(B6&lt;B91,"  ✅  BELOW — ENTRY OPEN","  ⬆  ABOVE — NOT YET")))</f>
        <v xml:space="preserve">  ⬆  ABOVE — NOT YET</v>
      </c>
    </row>
    <row r="92" spans="1:3" ht="25.5" customHeight="1" x14ac:dyDescent="0.3">
      <c r="A92" s="65" t="s">
        <v>120</v>
      </c>
      <c r="B92" s="134">
        <f>IFERROR(B86*(1-B82),"")</f>
        <v>53.624403794037946</v>
      </c>
      <c r="C92" s="67" t="str">
        <f>IF(OR(B6="",B92=""),"—",IF(ABS(B6-B92)/B92&lt;0.005,"  ◆  CMP IS HERE",IF(B6&lt;B92,"  ✅  BELOW — ENTRY OPEN","  ⬆  ABOVE — NOT YET")))</f>
        <v xml:space="preserve">  ⬆  ABOVE — NOT YET</v>
      </c>
    </row>
    <row r="93" spans="1:3" ht="25.5" customHeight="1" x14ac:dyDescent="0.3">
      <c r="A93" s="184"/>
      <c r="B93" s="187"/>
      <c r="C93" s="186"/>
    </row>
    <row r="94" spans="1:3" ht="47.4" customHeight="1" x14ac:dyDescent="0.3">
      <c r="A94" s="198" t="s">
        <v>350</v>
      </c>
      <c r="B94" s="198"/>
      <c r="C94" s="198"/>
    </row>
    <row r="95" spans="1:3" ht="7.5" customHeight="1" x14ac:dyDescent="0.3"/>
    <row r="96" spans="1:3" ht="19.5" customHeight="1" x14ac:dyDescent="0.3">
      <c r="A96" s="196" t="s">
        <v>121</v>
      </c>
      <c r="B96" s="196"/>
      <c r="C96" s="196"/>
    </row>
    <row r="97" spans="1:8" ht="19.5" customHeight="1" x14ac:dyDescent="0.3">
      <c r="A97" s="11" t="s">
        <v>122</v>
      </c>
      <c r="B97" s="68">
        <f>B6</f>
        <v>155</v>
      </c>
      <c r="C97" s="33" t="s">
        <v>39</v>
      </c>
    </row>
    <row r="98" spans="1:8" ht="27.75" customHeight="1" x14ac:dyDescent="0.3">
      <c r="A98" s="69" t="s">
        <v>123</v>
      </c>
      <c r="B98" s="70" t="str">
        <f>IF(OR(B6="",B41=""),"Enter data above",IF(B6&lt;=B41*(1-B86*1.5),"** STRONG BUY ** Excellent Entry",IF(B6&lt;=B41*(1-B86),"BUY - Good Entry",IF(B6&lt;=B41*(1-B86*0.5),"ACCUMULATE - Reasonable Entry",IF(B6&lt;=B41,"Near Fair Value - Cautious",IF(B6&lt;=B41*1.15,"Above Fair Value - Consider Trimming",IF(B6&lt;=B41*1.25,"EXPENSIVE - Consider Exiting","OVERVALUED - Exit Now")))))))</f>
        <v>OVERVALUED - Exit Now</v>
      </c>
      <c r="C98" s="71"/>
    </row>
    <row r="99" spans="1:8" ht="7.5" customHeight="1" x14ac:dyDescent="0.3"/>
    <row r="100" spans="1:8" ht="19.5" customHeight="1" x14ac:dyDescent="0.3">
      <c r="A100" s="197" t="s">
        <v>124</v>
      </c>
      <c r="B100" s="197"/>
      <c r="C100" s="197"/>
    </row>
    <row r="101" spans="1:8" ht="19.5" customHeight="1" x14ac:dyDescent="0.3">
      <c r="A101" s="72" t="s">
        <v>125</v>
      </c>
      <c r="B101" s="73" t="s">
        <v>126</v>
      </c>
      <c r="C101" s="74"/>
    </row>
    <row r="102" spans="1:8" ht="19.5" customHeight="1" x14ac:dyDescent="0.3">
      <c r="A102" s="75" t="s">
        <v>127</v>
      </c>
      <c r="B102" s="76" t="s">
        <v>128</v>
      </c>
      <c r="C102" s="76"/>
    </row>
    <row r="103" spans="1:8" ht="19.5" customHeight="1" x14ac:dyDescent="0.3">
      <c r="A103" s="77" t="s">
        <v>129</v>
      </c>
      <c r="B103" s="78" t="s">
        <v>130</v>
      </c>
      <c r="C103" s="78"/>
    </row>
    <row r="104" spans="1:8" ht="19.5" customHeight="1" x14ac:dyDescent="0.3">
      <c r="A104" s="79" t="s">
        <v>131</v>
      </c>
      <c r="B104" s="80" t="s">
        <v>132</v>
      </c>
      <c r="C104" s="80"/>
    </row>
    <row r="105" spans="1:8" ht="19.5" customHeight="1" x14ac:dyDescent="0.3">
      <c r="A105" s="81" t="s">
        <v>133</v>
      </c>
      <c r="B105" s="82" t="s">
        <v>134</v>
      </c>
      <c r="C105" s="82"/>
    </row>
    <row r="106" spans="1:8" ht="19.5" customHeight="1" x14ac:dyDescent="0.3">
      <c r="A106" s="83" t="s">
        <v>135</v>
      </c>
      <c r="B106" s="84" t="s">
        <v>136</v>
      </c>
      <c r="C106" s="84"/>
    </row>
    <row r="107" spans="1:8" ht="19.5" customHeight="1" x14ac:dyDescent="0.3">
      <c r="A107" s="85" t="s">
        <v>137</v>
      </c>
      <c r="B107" s="86" t="s">
        <v>138</v>
      </c>
      <c r="C107" s="87"/>
    </row>
    <row r="108" spans="1:8" ht="7.5" customHeight="1" x14ac:dyDescent="0.3"/>
    <row r="109" spans="1:8" ht="43.5" customHeight="1" x14ac:dyDescent="0.3">
      <c r="A109" s="198" t="s">
        <v>139</v>
      </c>
      <c r="B109" s="198"/>
      <c r="C109" s="198"/>
    </row>
    <row r="112" spans="1:8" ht="36" customHeight="1" x14ac:dyDescent="0.3">
      <c r="A112" s="222" t="s">
        <v>327</v>
      </c>
      <c r="B112" s="222"/>
      <c r="C112" s="222"/>
      <c r="D112" s="222"/>
      <c r="E112" s="222"/>
      <c r="F112" s="222"/>
      <c r="G112" s="222"/>
      <c r="H112" s="222"/>
    </row>
    <row r="113" spans="1:8" ht="30" customHeight="1" x14ac:dyDescent="0.3">
      <c r="A113" s="198" t="s">
        <v>219</v>
      </c>
      <c r="B113" s="198"/>
      <c r="C113" s="198"/>
      <c r="D113" s="198"/>
      <c r="E113" s="198"/>
      <c r="F113" s="198"/>
      <c r="G113" s="198"/>
      <c r="H113" s="198"/>
    </row>
    <row r="114" spans="1:8" ht="9.75" customHeight="1" x14ac:dyDescent="0.3"/>
    <row r="115" spans="1:8" ht="21.75" customHeight="1" x14ac:dyDescent="0.3">
      <c r="A115" s="220" t="s">
        <v>220</v>
      </c>
      <c r="B115" s="220"/>
      <c r="C115" s="220"/>
      <c r="D115" s="220"/>
      <c r="E115" s="220"/>
      <c r="F115" s="220"/>
      <c r="G115" s="220"/>
      <c r="H115" s="220"/>
    </row>
    <row r="116" spans="1:8" ht="19.5" customHeight="1" x14ac:dyDescent="0.3">
      <c r="A116" s="11" t="s">
        <v>221</v>
      </c>
      <c r="B116" s="178">
        <v>0.12</v>
      </c>
      <c r="C116" s="33" t="s">
        <v>47</v>
      </c>
      <c r="D116" s="109"/>
      <c r="E116" s="109"/>
      <c r="F116" s="109"/>
      <c r="G116" s="109"/>
      <c r="H116" s="109"/>
    </row>
    <row r="117" spans="1:8" ht="19.5" customHeight="1" x14ac:dyDescent="0.3">
      <c r="A117" s="11" t="s">
        <v>222</v>
      </c>
      <c r="B117" s="178">
        <v>0.08</v>
      </c>
      <c r="C117" s="33" t="s">
        <v>47</v>
      </c>
      <c r="D117" s="109"/>
      <c r="E117" s="109"/>
      <c r="F117" s="109"/>
      <c r="G117" s="109"/>
      <c r="H117" s="109"/>
    </row>
    <row r="118" spans="1:8" ht="19.5" customHeight="1" x14ac:dyDescent="0.3">
      <c r="A118" s="11" t="s">
        <v>223</v>
      </c>
      <c r="B118" s="178">
        <v>0.05</v>
      </c>
      <c r="C118" s="33" t="s">
        <v>47</v>
      </c>
      <c r="D118" s="109"/>
      <c r="E118" s="109"/>
      <c r="F118" s="109"/>
      <c r="G118" s="109"/>
      <c r="H118" s="109"/>
    </row>
    <row r="119" spans="1:8" ht="19.5" customHeight="1" x14ac:dyDescent="0.3">
      <c r="A119" s="11" t="s">
        <v>224</v>
      </c>
      <c r="B119" s="178">
        <v>0.03</v>
      </c>
      <c r="C119" s="33" t="s">
        <v>47</v>
      </c>
      <c r="D119" s="109"/>
      <c r="E119" s="109"/>
      <c r="F119" s="109"/>
      <c r="G119" s="109"/>
      <c r="H119" s="109"/>
    </row>
    <row r="120" spans="1:8" ht="19.5" customHeight="1" x14ac:dyDescent="0.3">
      <c r="A120" s="11" t="s">
        <v>225</v>
      </c>
      <c r="B120" s="140">
        <f>B16</f>
        <v>0.11799999999999999</v>
      </c>
      <c r="C120" s="33" t="s">
        <v>47</v>
      </c>
      <c r="D120" s="109"/>
      <c r="E120" s="109"/>
      <c r="F120" s="109"/>
      <c r="G120" s="109"/>
      <c r="H120" s="109"/>
    </row>
    <row r="121" spans="1:8" ht="19.5" customHeight="1" x14ac:dyDescent="0.3">
      <c r="A121" s="11" t="s">
        <v>153</v>
      </c>
      <c r="B121" s="178">
        <v>0.27</v>
      </c>
      <c r="C121" s="33" t="s">
        <v>47</v>
      </c>
      <c r="D121" s="109"/>
      <c r="E121" s="109"/>
      <c r="F121" s="109"/>
      <c r="G121" s="109"/>
      <c r="H121" s="109"/>
    </row>
    <row r="122" spans="1:8" ht="19.5" customHeight="1" x14ac:dyDescent="0.3">
      <c r="A122" s="11" t="s">
        <v>154</v>
      </c>
      <c r="B122" s="178">
        <v>0.05</v>
      </c>
      <c r="C122" s="33" t="s">
        <v>47</v>
      </c>
      <c r="D122" s="109"/>
      <c r="E122" s="109"/>
      <c r="F122" s="109"/>
      <c r="G122" s="109"/>
      <c r="H122" s="109"/>
    </row>
    <row r="123" spans="1:8" ht="19.5" customHeight="1" x14ac:dyDescent="0.3">
      <c r="A123" s="11" t="s">
        <v>226</v>
      </c>
      <c r="B123" s="178">
        <v>0.06</v>
      </c>
      <c r="C123" s="33" t="s">
        <v>47</v>
      </c>
      <c r="D123" s="109"/>
      <c r="E123" s="109"/>
      <c r="F123" s="109"/>
      <c r="G123" s="109"/>
      <c r="H123" s="109"/>
    </row>
    <row r="124" spans="1:8" ht="19.5" customHeight="1" x14ac:dyDescent="0.3">
      <c r="A124" s="11" t="s">
        <v>156</v>
      </c>
      <c r="B124" s="178">
        <v>0.02</v>
      </c>
      <c r="C124" s="33" t="s">
        <v>47</v>
      </c>
      <c r="D124" s="109"/>
      <c r="E124" s="109"/>
      <c r="F124" s="109"/>
      <c r="G124" s="109"/>
      <c r="H124" s="109"/>
    </row>
    <row r="125" spans="1:8" ht="7.5" customHeight="1" x14ac:dyDescent="0.3"/>
    <row r="126" spans="1:8" ht="21.75" customHeight="1" x14ac:dyDescent="0.3">
      <c r="A126" s="220" t="s">
        <v>227</v>
      </c>
      <c r="B126" s="220"/>
      <c r="C126" s="220"/>
      <c r="D126" s="220"/>
      <c r="E126" s="220"/>
      <c r="F126" s="220"/>
      <c r="G126" s="220"/>
      <c r="H126" s="220"/>
    </row>
    <row r="127" spans="1:8" ht="18" customHeight="1" x14ac:dyDescent="0.3">
      <c r="A127" s="11" t="s">
        <v>228</v>
      </c>
      <c r="B127" s="141">
        <f>B14</f>
        <v>220000</v>
      </c>
      <c r="C127" s="33" t="s">
        <v>80</v>
      </c>
      <c r="D127" s="109"/>
      <c r="E127" s="109"/>
      <c r="F127" s="109"/>
      <c r="G127" s="109"/>
      <c r="H127" s="109"/>
    </row>
    <row r="128" spans="1:8" ht="18" customHeight="1" x14ac:dyDescent="0.3">
      <c r="A128" s="11" t="s">
        <v>229</v>
      </c>
      <c r="B128" s="141">
        <f>B15</f>
        <v>26000</v>
      </c>
      <c r="C128" s="33" t="s">
        <v>80</v>
      </c>
      <c r="D128" s="109"/>
      <c r="E128" s="109"/>
      <c r="F128" s="109"/>
      <c r="G128" s="109"/>
      <c r="H128" s="109"/>
    </row>
    <row r="129" spans="1:8" ht="18" customHeight="1" x14ac:dyDescent="0.3">
      <c r="A129" s="11" t="s">
        <v>230</v>
      </c>
      <c r="B129" s="141">
        <f>B10</f>
        <v>85000</v>
      </c>
      <c r="C129" s="33" t="s">
        <v>80</v>
      </c>
      <c r="D129" s="109"/>
      <c r="E129" s="109"/>
      <c r="F129" s="109"/>
      <c r="G129" s="109"/>
      <c r="H129" s="109"/>
    </row>
    <row r="130" spans="1:8" ht="18" customHeight="1" x14ac:dyDescent="0.3">
      <c r="A130" s="11" t="s">
        <v>231</v>
      </c>
      <c r="B130" s="141">
        <f>B11</f>
        <v>18000</v>
      </c>
      <c r="C130" s="33" t="s">
        <v>80</v>
      </c>
      <c r="D130" s="109"/>
      <c r="E130" s="109"/>
      <c r="F130" s="109"/>
      <c r="G130" s="109"/>
      <c r="H130" s="109"/>
    </row>
    <row r="131" spans="1:8" ht="18" customHeight="1" x14ac:dyDescent="0.3">
      <c r="A131" s="11" t="s">
        <v>232</v>
      </c>
      <c r="B131" s="141">
        <f>B7</f>
        <v>1230</v>
      </c>
      <c r="C131" s="33" t="s">
        <v>41</v>
      </c>
      <c r="D131" s="109"/>
      <c r="E131" s="109"/>
      <c r="F131" s="109"/>
      <c r="G131" s="109"/>
      <c r="H131" s="109"/>
    </row>
    <row r="132" spans="1:8" ht="18" customHeight="1" x14ac:dyDescent="0.3">
      <c r="A132" s="11" t="s">
        <v>122</v>
      </c>
      <c r="B132" s="141">
        <f>B6</f>
        <v>155</v>
      </c>
      <c r="C132" s="33" t="s">
        <v>39</v>
      </c>
      <c r="D132" s="109"/>
      <c r="E132" s="109"/>
      <c r="F132" s="109"/>
      <c r="G132" s="109"/>
      <c r="H132" s="109"/>
    </row>
    <row r="133" spans="1:8" ht="9.75" customHeight="1" x14ac:dyDescent="0.3"/>
    <row r="134" spans="1:8" ht="21.75" customHeight="1" x14ac:dyDescent="0.3">
      <c r="A134" s="221" t="s">
        <v>233</v>
      </c>
      <c r="B134" s="221"/>
      <c r="C134" s="221"/>
      <c r="D134" s="221"/>
      <c r="E134" s="221"/>
      <c r="F134" s="221"/>
      <c r="G134" s="221"/>
      <c r="H134" s="221"/>
    </row>
    <row r="135" spans="1:8" ht="21.75" customHeight="1" x14ac:dyDescent="0.3">
      <c r="A135" s="1" t="s">
        <v>234</v>
      </c>
      <c r="B135" s="91" t="s">
        <v>158</v>
      </c>
      <c r="C135" s="91" t="s">
        <v>159</v>
      </c>
      <c r="D135" s="91" t="s">
        <v>160</v>
      </c>
      <c r="E135" s="91" t="s">
        <v>161</v>
      </c>
      <c r="F135" s="91" t="s">
        <v>162</v>
      </c>
      <c r="G135" s="91" t="s">
        <v>163</v>
      </c>
      <c r="H135" s="142" t="s">
        <v>164</v>
      </c>
    </row>
    <row r="136" spans="1:8" ht="19.5" customHeight="1" x14ac:dyDescent="0.3">
      <c r="A136" s="11" t="s">
        <v>235</v>
      </c>
      <c r="B136" s="143">
        <f>B14</f>
        <v>220000</v>
      </c>
      <c r="C136" s="144">
        <f>IFERROR(B136*(1+B117),"")</f>
        <v>237600.00000000003</v>
      </c>
      <c r="D136" s="144">
        <f>IFERROR(C136*(1+B117),"")</f>
        <v>256608.00000000006</v>
      </c>
      <c r="E136" s="144">
        <f>IFERROR(D136*(1+B117),"")</f>
        <v>277136.64000000007</v>
      </c>
      <c r="F136" s="144">
        <f>IFERROR(E136*(1+B118),"")</f>
        <v>290993.47200000007</v>
      </c>
      <c r="G136" s="144">
        <f>IFERROR(F136*(1+B118),"")</f>
        <v>305543.14560000011</v>
      </c>
      <c r="H136" s="145"/>
    </row>
    <row r="137" spans="1:8" ht="19.5" customHeight="1" x14ac:dyDescent="0.3">
      <c r="A137" s="11" t="s">
        <v>236</v>
      </c>
      <c r="B137" s="143">
        <f>B15</f>
        <v>26000</v>
      </c>
      <c r="C137" s="144">
        <f>IFERROR(C136*B120,"")</f>
        <v>28036.800000000003</v>
      </c>
      <c r="D137" s="144">
        <f>IFERROR(D136*B120,"")</f>
        <v>30279.744000000006</v>
      </c>
      <c r="E137" s="144">
        <f>IFERROR(E136*B120,"")</f>
        <v>32702.123520000008</v>
      </c>
      <c r="F137" s="144">
        <f>IFERROR(F136*B120,"")</f>
        <v>34337.229696000009</v>
      </c>
      <c r="G137" s="144">
        <f>IFERROR(G136*B120,"")</f>
        <v>36054.091180800009</v>
      </c>
      <c r="H137" s="145"/>
    </row>
    <row r="138" spans="1:8" ht="18" customHeight="1" x14ac:dyDescent="0.3">
      <c r="A138" s="33" t="s">
        <v>237</v>
      </c>
      <c r="B138" s="146">
        <f t="shared" ref="B138:G138" si="0">IFERROR(B137/B136,"")</f>
        <v>0.11818181818181818</v>
      </c>
      <c r="C138" s="146">
        <f t="shared" si="0"/>
        <v>0.11799999999999999</v>
      </c>
      <c r="D138" s="146">
        <f t="shared" si="0"/>
        <v>0.11799999999999999</v>
      </c>
      <c r="E138" s="146">
        <f t="shared" si="0"/>
        <v>0.11799999999999999</v>
      </c>
      <c r="F138" s="146">
        <f t="shared" si="0"/>
        <v>0.11800000000000001</v>
      </c>
      <c r="G138" s="146">
        <f t="shared" si="0"/>
        <v>0.11799999999999999</v>
      </c>
      <c r="H138" s="146"/>
    </row>
    <row r="139" spans="1:8" ht="19.5" customHeight="1" x14ac:dyDescent="0.3">
      <c r="A139" s="11" t="s">
        <v>238</v>
      </c>
      <c r="B139" s="144">
        <f>IFERROR(B136*B122,"")</f>
        <v>11000</v>
      </c>
      <c r="C139" s="144">
        <f>IFERROR(C136*B122,"")</f>
        <v>11880.000000000002</v>
      </c>
      <c r="D139" s="144">
        <f>IFERROR(D136*B122,"")</f>
        <v>12830.400000000003</v>
      </c>
      <c r="E139" s="144">
        <f>IFERROR(E136*B122,"")</f>
        <v>13856.832000000004</v>
      </c>
      <c r="F139" s="144">
        <f>IFERROR(F136*B122,"")</f>
        <v>14549.673600000004</v>
      </c>
      <c r="G139" s="144">
        <f>IFERROR(G136*B122,"")</f>
        <v>15277.157280000007</v>
      </c>
      <c r="H139" s="145"/>
    </row>
    <row r="140" spans="1:8" ht="19.5" customHeight="1" x14ac:dyDescent="0.3">
      <c r="A140" s="16" t="s">
        <v>239</v>
      </c>
      <c r="B140" s="30">
        <f t="shared" ref="B140:G140" si="1">IFERROR(B137-B139,"")</f>
        <v>15000</v>
      </c>
      <c r="C140" s="30">
        <f t="shared" si="1"/>
        <v>16156.800000000001</v>
      </c>
      <c r="D140" s="30">
        <f t="shared" si="1"/>
        <v>17449.344000000005</v>
      </c>
      <c r="E140" s="30">
        <f t="shared" si="1"/>
        <v>18845.291520000006</v>
      </c>
      <c r="F140" s="30">
        <f t="shared" si="1"/>
        <v>19787.556096000008</v>
      </c>
      <c r="G140" s="30">
        <f t="shared" si="1"/>
        <v>20776.933900800002</v>
      </c>
      <c r="H140" s="145"/>
    </row>
    <row r="141" spans="1:8" ht="19.5" customHeight="1" x14ac:dyDescent="0.3">
      <c r="A141" s="16" t="s">
        <v>240</v>
      </c>
      <c r="B141" s="30">
        <f>IFERROR(B140*B121,"")</f>
        <v>4050.0000000000005</v>
      </c>
      <c r="C141" s="30">
        <f>IFERROR(C140*B121,"")</f>
        <v>4362.3360000000002</v>
      </c>
      <c r="D141" s="30">
        <f>IFERROR(D140*B121,"")</f>
        <v>4711.3228800000015</v>
      </c>
      <c r="E141" s="30">
        <f>IFERROR(E140*B121,"")</f>
        <v>5088.2287104000015</v>
      </c>
      <c r="F141" s="30">
        <f>IFERROR(F140*B121,"")</f>
        <v>5342.6401459200024</v>
      </c>
      <c r="G141" s="30">
        <f>IFERROR(G140*B121,"")</f>
        <v>5609.7721532160012</v>
      </c>
      <c r="H141" s="145"/>
    </row>
    <row r="142" spans="1:8" ht="19.5" customHeight="1" x14ac:dyDescent="0.3">
      <c r="A142" s="34" t="s">
        <v>241</v>
      </c>
      <c r="B142" s="147">
        <f t="shared" ref="B142:G142" si="2">IFERROR(B140-B141,"")</f>
        <v>10950</v>
      </c>
      <c r="C142" s="147">
        <f t="shared" si="2"/>
        <v>11794.464</v>
      </c>
      <c r="D142" s="147">
        <f t="shared" si="2"/>
        <v>12738.021120000003</v>
      </c>
      <c r="E142" s="147">
        <f t="shared" si="2"/>
        <v>13757.062809600004</v>
      </c>
      <c r="F142" s="147">
        <f t="shared" si="2"/>
        <v>14444.915950080005</v>
      </c>
      <c r="G142" s="147">
        <f t="shared" si="2"/>
        <v>15167.161747584001</v>
      </c>
      <c r="H142" s="93"/>
    </row>
    <row r="143" spans="1:8" ht="19.5" customHeight="1" x14ac:dyDescent="0.3">
      <c r="A143" s="148" t="s">
        <v>242</v>
      </c>
      <c r="B143" s="145">
        <f>IFERROR(-B136*B123,"")</f>
        <v>-13200</v>
      </c>
      <c r="C143" s="145">
        <f>IFERROR(-C136*B123,"")</f>
        <v>-14256.000000000002</v>
      </c>
      <c r="D143" s="145">
        <f>IFERROR(-D136*B123,"")</f>
        <v>-15396.480000000003</v>
      </c>
      <c r="E143" s="145">
        <f>IFERROR(-E136*B123,"")</f>
        <v>-16628.198400000005</v>
      </c>
      <c r="F143" s="145">
        <f>IFERROR(-F136*B123,"")</f>
        <v>-17459.608320000003</v>
      </c>
      <c r="G143" s="145">
        <f>IFERROR(-G136*B123,"")</f>
        <v>-18332.588736000005</v>
      </c>
      <c r="H143" s="145"/>
    </row>
    <row r="144" spans="1:8" ht="19.5" customHeight="1" x14ac:dyDescent="0.3">
      <c r="A144" s="148" t="s">
        <v>243</v>
      </c>
      <c r="B144" s="145">
        <f>IFERROR(-B136*B124,"")</f>
        <v>-4400</v>
      </c>
      <c r="C144" s="145">
        <f>IFERROR(-C136*B124,"")</f>
        <v>-4752.0000000000009</v>
      </c>
      <c r="D144" s="145">
        <f>IFERROR(-D136*B124,"")</f>
        <v>-5132.1600000000017</v>
      </c>
      <c r="E144" s="145">
        <f>IFERROR(-E136*B124,"")</f>
        <v>-5542.7328000000016</v>
      </c>
      <c r="F144" s="145">
        <f>IFERROR(-F136*B124,"")</f>
        <v>-5819.8694400000013</v>
      </c>
      <c r="G144" s="145">
        <f>IFERROR(-G136*B124,"")</f>
        <v>-6110.8629120000023</v>
      </c>
      <c r="H144" s="145"/>
    </row>
    <row r="145" spans="1:8" ht="19.5" customHeight="1" x14ac:dyDescent="0.3">
      <c r="A145" s="148" t="s">
        <v>244</v>
      </c>
      <c r="B145" s="145">
        <f t="shared" ref="B145:G145" si="3">IFERROR(B139,"")</f>
        <v>11000</v>
      </c>
      <c r="C145" s="145">
        <f t="shared" si="3"/>
        <v>11880.000000000002</v>
      </c>
      <c r="D145" s="145">
        <f t="shared" si="3"/>
        <v>12830.400000000003</v>
      </c>
      <c r="E145" s="145">
        <f t="shared" si="3"/>
        <v>13856.832000000004</v>
      </c>
      <c r="F145" s="145">
        <f t="shared" si="3"/>
        <v>14549.673600000004</v>
      </c>
      <c r="G145" s="145">
        <f t="shared" si="3"/>
        <v>15277.157280000007</v>
      </c>
      <c r="H145" s="145"/>
    </row>
    <row r="146" spans="1:8" ht="24" customHeight="1" x14ac:dyDescent="0.3">
      <c r="A146" s="23" t="s">
        <v>245</v>
      </c>
      <c r="B146" s="149"/>
      <c r="C146" s="95">
        <f t="shared" ref="C146:G146" si="4">IFERROR(C142+C145+C143+C144,"")</f>
        <v>4666.4639999999972</v>
      </c>
      <c r="D146" s="95">
        <f t="shared" si="4"/>
        <v>5039.7811200000015</v>
      </c>
      <c r="E146" s="95">
        <f t="shared" si="4"/>
        <v>5442.9636096000031</v>
      </c>
      <c r="F146" s="95">
        <f t="shared" si="4"/>
        <v>5715.1117900800064</v>
      </c>
      <c r="G146" s="95">
        <f t="shared" si="4"/>
        <v>6000.8673795840023</v>
      </c>
      <c r="H146" s="93"/>
    </row>
    <row r="147" spans="1:8" ht="4.5" customHeight="1" x14ac:dyDescent="0.3"/>
    <row r="148" spans="1:8" ht="19.5" customHeight="1" x14ac:dyDescent="0.3">
      <c r="A148" s="150" t="s">
        <v>246</v>
      </c>
      <c r="B148" s="151"/>
      <c r="C148" s="151"/>
      <c r="D148" s="151"/>
      <c r="E148" s="151"/>
      <c r="F148" s="151"/>
      <c r="G148" s="151"/>
      <c r="H148" s="152">
        <f>IFERROR(G146*(1+B119)/(B116-B119),"")</f>
        <v>68676.593344128021</v>
      </c>
    </row>
    <row r="149" spans="1:8" ht="18" customHeight="1" x14ac:dyDescent="0.3">
      <c r="A149" s="36" t="s">
        <v>247</v>
      </c>
      <c r="B149" s="153" t="s">
        <v>248</v>
      </c>
      <c r="C149" s="154">
        <f>IFERROR(1/(1+B116)^1,"")</f>
        <v>0.89285714285714279</v>
      </c>
      <c r="D149" s="154">
        <f>IFERROR(1/(1+B116)^2,"")</f>
        <v>0.79719387755102034</v>
      </c>
      <c r="E149" s="154">
        <f>IFERROR(1/(1+B116)^3,"")</f>
        <v>0.71178024781341087</v>
      </c>
      <c r="F149" s="154">
        <f>IFERROR(1/(1+B116)^4,"")</f>
        <v>0.63551807840483121</v>
      </c>
      <c r="G149" s="154">
        <f>IFERROR(1/(1+B116)^5,"")</f>
        <v>0.56742685571859919</v>
      </c>
      <c r="H149" s="155">
        <f>IFERROR(1/(1+B116)^5,"")</f>
        <v>0.56742685571859919</v>
      </c>
    </row>
    <row r="150" spans="1:8" ht="19.5" customHeight="1" x14ac:dyDescent="0.3">
      <c r="A150" s="23" t="s">
        <v>249</v>
      </c>
      <c r="B150" s="156" t="s">
        <v>248</v>
      </c>
      <c r="C150" s="95">
        <f>IFERROR(C146*C149,"")</f>
        <v>4166.4857142857118</v>
      </c>
      <c r="D150" s="95">
        <f>IFERROR(D146*D149,"")</f>
        <v>4017.6826530612252</v>
      </c>
      <c r="E150" s="95">
        <f>IFERROR(E146*E149,"")</f>
        <v>3874.1939868804675</v>
      </c>
      <c r="F150" s="95">
        <f>IFERROR(F146*F149,"")</f>
        <v>3632.0568627004409</v>
      </c>
      <c r="G150" s="95">
        <f>IFERROR(G146*G149,"")</f>
        <v>3405.0533087816602</v>
      </c>
      <c r="H150" s="93">
        <f>IFERROR(H148*H149,"")</f>
        <v>38968.943422723438</v>
      </c>
    </row>
    <row r="151" spans="1:8" ht="4.5" customHeight="1" x14ac:dyDescent="0.3"/>
    <row r="152" spans="1:8" ht="25.5" customHeight="1" x14ac:dyDescent="0.3">
      <c r="A152" s="157" t="s">
        <v>250</v>
      </c>
      <c r="B152" s="158">
        <f>IFERROR(C150+D150+E150+F150+G150+H150,"")</f>
        <v>58064.415948432943</v>
      </c>
      <c r="C152" s="159" t="s">
        <v>80</v>
      </c>
      <c r="D152" s="160"/>
      <c r="E152" s="160"/>
      <c r="F152" s="160"/>
      <c r="G152" s="160"/>
      <c r="H152" s="160"/>
    </row>
    <row r="153" spans="1:8" ht="19.5" customHeight="1" x14ac:dyDescent="0.3">
      <c r="A153" s="161" t="s">
        <v>251</v>
      </c>
      <c r="B153" s="162">
        <f>IFERROR(B152-B10+B11,"")</f>
        <v>-8935.584051567057</v>
      </c>
      <c r="C153" s="163" t="s">
        <v>80</v>
      </c>
      <c r="D153" s="149"/>
      <c r="E153" s="149"/>
      <c r="F153" s="149"/>
      <c r="G153" s="149"/>
      <c r="H153" s="149"/>
    </row>
    <row r="154" spans="1:8" ht="30" customHeight="1" x14ac:dyDescent="0.3">
      <c r="A154" s="164" t="s">
        <v>252</v>
      </c>
      <c r="B154" s="165" t="str">
        <f>IFERROR(IF(B153&lt;=0,"N/A",B153/B7),"")</f>
        <v>N/A</v>
      </c>
      <c r="C154" s="166" t="s">
        <v>39</v>
      </c>
      <c r="D154" s="167"/>
      <c r="E154" s="167"/>
      <c r="F154" s="167"/>
      <c r="G154" s="167"/>
      <c r="H154" s="167"/>
    </row>
    <row r="155" spans="1:8" ht="19.5" customHeight="1" x14ac:dyDescent="0.3">
      <c r="A155" s="19" t="s">
        <v>253</v>
      </c>
      <c r="B155" s="168" t="str">
        <f>IFERROR(IF(B154="N/A","N/A",(B154-B6)/B6),"")</f>
        <v>N/A</v>
      </c>
      <c r="C155" s="169" t="s">
        <v>47</v>
      </c>
      <c r="D155" s="170"/>
      <c r="E155" s="170"/>
      <c r="F155" s="170"/>
      <c r="G155" s="170"/>
      <c r="H155" s="170"/>
    </row>
    <row r="156" spans="1:8" ht="9.75" customHeight="1" x14ac:dyDescent="0.3"/>
    <row r="157" spans="1:8" ht="21.75" customHeight="1" x14ac:dyDescent="0.3">
      <c r="A157" s="220" t="s">
        <v>254</v>
      </c>
      <c r="B157" s="220"/>
      <c r="C157" s="220"/>
      <c r="D157" s="220"/>
      <c r="E157" s="220"/>
      <c r="F157" s="220"/>
      <c r="G157" s="220"/>
      <c r="H157" s="220"/>
    </row>
    <row r="158" spans="1:8" ht="19.5" customHeight="1" x14ac:dyDescent="0.3">
      <c r="A158" s="171" t="s">
        <v>255</v>
      </c>
      <c r="B158" s="218" t="s">
        <v>256</v>
      </c>
      <c r="C158" s="218"/>
      <c r="D158" s="218"/>
      <c r="E158" s="218"/>
      <c r="F158" s="218"/>
      <c r="G158" s="218"/>
      <c r="H158" s="218"/>
    </row>
    <row r="159" spans="1:8" ht="19.5" customHeight="1" x14ac:dyDescent="0.3">
      <c r="A159" s="171" t="s">
        <v>257</v>
      </c>
      <c r="B159" s="218" t="s">
        <v>258</v>
      </c>
      <c r="C159" s="218"/>
      <c r="D159" s="218"/>
      <c r="E159" s="218"/>
      <c r="F159" s="218"/>
      <c r="G159" s="218"/>
      <c r="H159" s="218"/>
    </row>
    <row r="160" spans="1:8" ht="19.5" customHeight="1" x14ac:dyDescent="0.3">
      <c r="A160" s="171" t="s">
        <v>259</v>
      </c>
      <c r="B160" s="218" t="s">
        <v>260</v>
      </c>
      <c r="C160" s="218"/>
      <c r="D160" s="218"/>
      <c r="E160" s="218"/>
      <c r="F160" s="218"/>
      <c r="G160" s="218"/>
      <c r="H160" s="218"/>
    </row>
    <row r="161" spans="1:8" ht="19.5" customHeight="1" x14ac:dyDescent="0.3">
      <c r="A161" s="171" t="s">
        <v>261</v>
      </c>
      <c r="B161" s="218" t="s">
        <v>262</v>
      </c>
      <c r="C161" s="218"/>
      <c r="D161" s="218"/>
      <c r="E161" s="218"/>
      <c r="F161" s="218"/>
      <c r="G161" s="218"/>
      <c r="H161" s="218"/>
    </row>
    <row r="162" spans="1:8" ht="19.5" customHeight="1" x14ac:dyDescent="0.3">
      <c r="A162" s="171" t="s">
        <v>263</v>
      </c>
      <c r="B162" s="218" t="s">
        <v>264</v>
      </c>
      <c r="C162" s="218"/>
      <c r="D162" s="218"/>
      <c r="E162" s="218"/>
      <c r="F162" s="218"/>
      <c r="G162" s="218"/>
      <c r="H162" s="218"/>
    </row>
    <row r="163" spans="1:8" ht="19.5" customHeight="1" x14ac:dyDescent="0.3">
      <c r="A163" s="171" t="s">
        <v>265</v>
      </c>
      <c r="B163" s="218" t="s">
        <v>328</v>
      </c>
      <c r="C163" s="218"/>
      <c r="D163" s="218"/>
      <c r="E163" s="218"/>
      <c r="F163" s="218"/>
      <c r="G163" s="218"/>
      <c r="H163" s="218"/>
    </row>
    <row r="164" spans="1:8" ht="7.5" customHeight="1" x14ac:dyDescent="0.3"/>
    <row r="165" spans="1:8" ht="36" customHeight="1" x14ac:dyDescent="0.3">
      <c r="A165" s="219" t="s">
        <v>267</v>
      </c>
      <c r="B165" s="219"/>
      <c r="C165" s="219"/>
      <c r="D165" s="219"/>
      <c r="E165" s="219"/>
      <c r="F165" s="219"/>
      <c r="G165" s="219"/>
      <c r="H165" s="219"/>
    </row>
  </sheetData>
  <mergeCells count="38">
    <mergeCell ref="A1:C1"/>
    <mergeCell ref="A2:C2"/>
    <mergeCell ref="A4:C4"/>
    <mergeCell ref="A13:C13"/>
    <mergeCell ref="A18:C18"/>
    <mergeCell ref="A23:C23"/>
    <mergeCell ref="A27:C27"/>
    <mergeCell ref="A31:C31"/>
    <mergeCell ref="A35:C35"/>
    <mergeCell ref="A44:C44"/>
    <mergeCell ref="A51:C51"/>
    <mergeCell ref="A52:C52"/>
    <mergeCell ref="A54:C54"/>
    <mergeCell ref="A59:C59"/>
    <mergeCell ref="A65:C65"/>
    <mergeCell ref="A70:C70"/>
    <mergeCell ref="A74:C74"/>
    <mergeCell ref="A77:C77"/>
    <mergeCell ref="A78:C78"/>
    <mergeCell ref="A80:C80"/>
    <mergeCell ref="A84:C84"/>
    <mergeCell ref="A96:C96"/>
    <mergeCell ref="A100:C100"/>
    <mergeCell ref="A109:C109"/>
    <mergeCell ref="A112:H112"/>
    <mergeCell ref="B163:H163"/>
    <mergeCell ref="A165:H165"/>
    <mergeCell ref="A94:C94"/>
    <mergeCell ref="B158:H158"/>
    <mergeCell ref="B159:H159"/>
    <mergeCell ref="B160:H160"/>
    <mergeCell ref="B161:H161"/>
    <mergeCell ref="B162:H162"/>
    <mergeCell ref="A113:H113"/>
    <mergeCell ref="A115:H115"/>
    <mergeCell ref="A126:H126"/>
    <mergeCell ref="A134:H134"/>
    <mergeCell ref="A157:H157"/>
  </mergeCells>
  <conditionalFormatting sqref="B57">
    <cfRule type="expression" dxfId="95" priority="2">
      <formula>B42&gt;0.2</formula>
    </cfRule>
    <cfRule type="expression" dxfId="94" priority="3">
      <formula>AND(B42&gt;0.1,B42&lt;=0.2)</formula>
    </cfRule>
    <cfRule type="expression" dxfId="93" priority="4">
      <formula>AND(B42&gt;=-0.1,B42&lt;=0.1)</formula>
    </cfRule>
    <cfRule type="expression" dxfId="92" priority="5">
      <formula>AND(B42&gt;=-0.2,B42&lt;-0.1)</formula>
    </cfRule>
    <cfRule type="expression" dxfId="91" priority="6">
      <formula>B42&lt;-0.2</formula>
    </cfRule>
  </conditionalFormatting>
  <conditionalFormatting sqref="B60">
    <cfRule type="expression" dxfId="90" priority="7">
      <formula>B25&gt;0.2</formula>
    </cfRule>
    <cfRule type="expression" dxfId="89" priority="8">
      <formula>AND(B25&gt;0.1,B25&lt;=0.2)</formula>
    </cfRule>
    <cfRule type="expression" dxfId="88" priority="9">
      <formula>AND(B25&gt;=-0.1,B25&lt;=0.1)</formula>
    </cfRule>
    <cfRule type="expression" dxfId="87" priority="10">
      <formula>AND(B25&gt;=-0.2,B25&lt;-0.1)</formula>
    </cfRule>
    <cfRule type="expression" dxfId="86" priority="11">
      <formula>B25&lt;-0.2</formula>
    </cfRule>
  </conditionalFormatting>
  <conditionalFormatting sqref="B61:B62">
    <cfRule type="expression" dxfId="85" priority="12">
      <formula>B29&gt;0.2</formula>
    </cfRule>
    <cfRule type="expression" dxfId="84" priority="13">
      <formula>AND(B29&gt;0.1,B29&lt;=0.2)</formula>
    </cfRule>
    <cfRule type="expression" dxfId="83" priority="14">
      <formula>AND(B29&gt;=-0.1,B29&lt;=0.1)</formula>
    </cfRule>
    <cfRule type="expression" dxfId="82" priority="15">
      <formula>AND(B29&gt;=-0.2,B29&lt;-0.1)</formula>
    </cfRule>
    <cfRule type="expression" dxfId="81" priority="16">
      <formula>B29&lt;-0.2</formula>
    </cfRule>
  </conditionalFormatting>
  <conditionalFormatting sqref="B63">
    <cfRule type="expression" dxfId="80" priority="17">
      <formula>B33&gt;0.2</formula>
    </cfRule>
    <cfRule type="expression" dxfId="79" priority="18">
      <formula>AND(B33&gt;0.1,B33&lt;=0.2)</formula>
    </cfRule>
    <cfRule type="expression" dxfId="78" priority="19">
      <formula>AND(B33&gt;=-0.1,B33&lt;=0.1)</formula>
    </cfRule>
    <cfRule type="expression" dxfId="77" priority="20">
      <formula>AND(B33&gt;=-0.2,B33&lt;-0.1)</formula>
    </cfRule>
    <cfRule type="expression" dxfId="76" priority="21">
      <formula>B33&lt;-0.2</formula>
    </cfRule>
  </conditionalFormatting>
  <conditionalFormatting sqref="B71">
    <cfRule type="expression" dxfId="75" priority="22">
      <formula>B42&gt;0.2</formula>
    </cfRule>
    <cfRule type="expression" dxfId="74" priority="23">
      <formula>AND(B42&gt;0.1,B42&lt;=0.2)</formula>
    </cfRule>
    <cfRule type="expression" dxfId="73" priority="24">
      <formula>AND(B42&gt;=-0.1,B42&lt;=0.1)</formula>
    </cfRule>
    <cfRule type="expression" dxfId="72" priority="25">
      <formula>AND(B42&gt;=-0.2,B42&lt;-0.1)</formula>
    </cfRule>
    <cfRule type="expression" dxfId="71" priority="26">
      <formula>B42&lt;-0.2</formula>
    </cfRule>
  </conditionalFormatting>
  <conditionalFormatting sqref="B72">
    <cfRule type="expression" dxfId="70" priority="27">
      <formula>B42&gt;0.2</formula>
    </cfRule>
    <cfRule type="expression" dxfId="69" priority="28">
      <formula>AND(B42&gt;0.1,B42&lt;=0.2)</formula>
    </cfRule>
    <cfRule type="expression" dxfId="68" priority="29">
      <formula>AND(B42&gt;=-0.1,B42&lt;=0.1)</formula>
    </cfRule>
    <cfRule type="expression" dxfId="67" priority="30">
      <formula>AND(B42&gt;=-0.2,B42&lt;-0.1)</formula>
    </cfRule>
    <cfRule type="expression" dxfId="66" priority="31">
      <formula>B42&lt;-0.2</formula>
    </cfRule>
  </conditionalFormatting>
  <conditionalFormatting sqref="B98">
    <cfRule type="expression" dxfId="65" priority="118">
      <formula>B6&gt;B41*1.15</formula>
    </cfRule>
    <cfRule type="expression" dxfId="64" priority="113">
      <formula>B6&lt;=B41*(1-B81*1.5)</formula>
    </cfRule>
    <cfRule type="expression" dxfId="63" priority="114">
      <formula>AND(B6&gt;B41*(1-B81*1.5),B6&lt;=B41*(1-B81))</formula>
    </cfRule>
    <cfRule type="expression" dxfId="62" priority="115">
      <formula>AND(B6&gt;B41*(1-B81),B6&lt;=B41*(1-B81*0.5))</formula>
    </cfRule>
    <cfRule type="expression" dxfId="61" priority="116">
      <formula>AND(B6&gt;B41*(1-B81*0.5),B6&lt;=B41)</formula>
    </cfRule>
    <cfRule type="expression" dxfId="60" priority="117">
      <formula>AND(B6&gt;B41,B6&lt;=B41*1.15)</formula>
    </cfRule>
  </conditionalFormatting>
  <conditionalFormatting sqref="C86">
    <cfRule type="expression" dxfId="59" priority="119">
      <formula>B6&lt;B86</formula>
    </cfRule>
    <cfRule type="expression" dxfId="58" priority="120">
      <formula>B6&gt;=B86</formula>
    </cfRule>
  </conditionalFormatting>
  <conditionalFormatting sqref="C87">
    <cfRule type="expression" dxfId="57" priority="121">
      <formula>B6&lt;B87</formula>
    </cfRule>
    <cfRule type="expression" dxfId="56" priority="122">
      <formula>B6&gt;=B87</formula>
    </cfRule>
  </conditionalFormatting>
  <conditionalFormatting sqref="C88">
    <cfRule type="expression" dxfId="55" priority="124">
      <formula>B6&gt;=B88</formula>
    </cfRule>
    <cfRule type="expression" dxfId="54" priority="123">
      <formula>B6&lt;B88</formula>
    </cfRule>
  </conditionalFormatting>
  <conditionalFormatting sqref="C89">
    <cfRule type="expression" dxfId="53" priority="32">
      <formula>B6&lt;B89</formula>
    </cfRule>
    <cfRule type="expression" dxfId="52" priority="33">
      <formula>B6&gt;=B89</formula>
    </cfRule>
  </conditionalFormatting>
  <conditionalFormatting sqref="C90">
    <cfRule type="expression" dxfId="51" priority="34">
      <formula>B6&lt;B90</formula>
    </cfRule>
    <cfRule type="expression" dxfId="50" priority="35">
      <formula>B6&gt;=B90</formula>
    </cfRule>
  </conditionalFormatting>
  <conditionalFormatting sqref="C91">
    <cfRule type="expression" dxfId="49" priority="36">
      <formula>B6&lt;B91</formula>
    </cfRule>
    <cfRule type="expression" dxfId="48" priority="37">
      <formula>B6&gt;=B91</formula>
    </cfRule>
  </conditionalFormatting>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8"/>
  <sheetViews>
    <sheetView showGridLines="0" topLeftCell="A14" zoomScaleNormal="100" workbookViewId="0">
      <selection activeCell="B72" sqref="B72"/>
    </sheetView>
  </sheetViews>
  <sheetFormatPr defaultColWidth="8.6640625" defaultRowHeight="14.4" x14ac:dyDescent="0.3"/>
  <cols>
    <col min="1" max="1" width="72.6640625" customWidth="1"/>
    <col min="2" max="2" width="28.44140625" customWidth="1"/>
    <col min="3" max="3" width="28.88671875" customWidth="1"/>
    <col min="4" max="7" width="13" customWidth="1"/>
    <col min="8" max="8" width="14" customWidth="1"/>
  </cols>
  <sheetData>
    <row r="1" spans="1:3" ht="31.5" customHeight="1" x14ac:dyDescent="0.3">
      <c r="A1" s="206" t="s">
        <v>329</v>
      </c>
      <c r="B1" s="206"/>
      <c r="C1" s="206"/>
    </row>
    <row r="2" spans="1:3" ht="27.75" customHeight="1" x14ac:dyDescent="0.3">
      <c r="A2" s="207" t="s">
        <v>330</v>
      </c>
      <c r="B2" s="207"/>
      <c r="C2" s="207"/>
    </row>
    <row r="3" spans="1:3" ht="7.5" customHeight="1" x14ac:dyDescent="0.3"/>
    <row r="4" spans="1:3" ht="19.5" customHeight="1" x14ac:dyDescent="0.3">
      <c r="A4" s="208" t="s">
        <v>35</v>
      </c>
      <c r="B4" s="208"/>
      <c r="C4" s="208"/>
    </row>
    <row r="5" spans="1:3" ht="18" customHeight="1" x14ac:dyDescent="0.3">
      <c r="A5" s="179" t="s">
        <v>36</v>
      </c>
      <c r="B5" s="180" t="s">
        <v>331</v>
      </c>
      <c r="C5" s="181"/>
    </row>
    <row r="6" spans="1:3" ht="18" customHeight="1" x14ac:dyDescent="0.3">
      <c r="A6" s="179" t="s">
        <v>38</v>
      </c>
      <c r="B6" s="182">
        <v>1750</v>
      </c>
      <c r="C6" s="181" t="s">
        <v>39</v>
      </c>
    </row>
    <row r="7" spans="1:3" ht="18" customHeight="1" x14ac:dyDescent="0.3">
      <c r="A7" s="179" t="s">
        <v>40</v>
      </c>
      <c r="B7" s="183">
        <v>560</v>
      </c>
      <c r="C7" s="181" t="s">
        <v>41</v>
      </c>
    </row>
    <row r="8" spans="1:3" ht="18" customHeight="1" x14ac:dyDescent="0.3">
      <c r="A8" s="179" t="s">
        <v>143</v>
      </c>
      <c r="B8" s="182">
        <v>35</v>
      </c>
      <c r="C8" s="181" t="s">
        <v>39</v>
      </c>
    </row>
    <row r="9" spans="1:3" ht="18" customHeight="1" x14ac:dyDescent="0.3">
      <c r="A9" s="179" t="s">
        <v>146</v>
      </c>
      <c r="B9" s="183">
        <v>230000</v>
      </c>
      <c r="C9" s="181" t="s">
        <v>80</v>
      </c>
    </row>
    <row r="10" spans="1:3" ht="18" customHeight="1" x14ac:dyDescent="0.3">
      <c r="A10" s="179" t="s">
        <v>147</v>
      </c>
      <c r="B10" s="183">
        <v>20000</v>
      </c>
      <c r="C10" s="181" t="s">
        <v>80</v>
      </c>
    </row>
    <row r="11" spans="1:3" ht="7.5" customHeight="1" x14ac:dyDescent="0.3"/>
    <row r="12" spans="1:3" ht="19.5" customHeight="1" x14ac:dyDescent="0.3">
      <c r="A12" s="208" t="s">
        <v>45</v>
      </c>
      <c r="B12" s="208"/>
      <c r="C12" s="208"/>
    </row>
    <row r="13" spans="1:3" ht="18" customHeight="1" x14ac:dyDescent="0.3">
      <c r="A13" s="179" t="s">
        <v>145</v>
      </c>
      <c r="B13" s="183">
        <v>150000</v>
      </c>
      <c r="C13" s="181" t="s">
        <v>80</v>
      </c>
    </row>
    <row r="14" spans="1:3" ht="18" customHeight="1" x14ac:dyDescent="0.3">
      <c r="A14" s="179" t="s">
        <v>144</v>
      </c>
      <c r="B14" s="183">
        <v>75000</v>
      </c>
      <c r="C14" s="181" t="s">
        <v>80</v>
      </c>
    </row>
    <row r="15" spans="1:3" ht="18" customHeight="1" x14ac:dyDescent="0.3">
      <c r="A15" s="179" t="s">
        <v>200</v>
      </c>
      <c r="B15" s="191">
        <v>0.5</v>
      </c>
      <c r="C15" s="181" t="s">
        <v>47</v>
      </c>
    </row>
    <row r="16" spans="1:3" ht="18" customHeight="1" x14ac:dyDescent="0.3">
      <c r="A16" s="179" t="s">
        <v>332</v>
      </c>
      <c r="B16" s="183">
        <v>550</v>
      </c>
      <c r="C16" s="181" t="s">
        <v>333</v>
      </c>
    </row>
    <row r="17" spans="1:3" ht="18" customHeight="1" x14ac:dyDescent="0.3">
      <c r="A17" s="179" t="s">
        <v>334</v>
      </c>
      <c r="B17" s="182">
        <v>215</v>
      </c>
      <c r="C17" s="181" t="s">
        <v>335</v>
      </c>
    </row>
    <row r="18" spans="1:3" ht="7.5" customHeight="1" x14ac:dyDescent="0.3"/>
    <row r="19" spans="1:3" ht="19.5" customHeight="1" x14ac:dyDescent="0.3">
      <c r="A19" s="208" t="s">
        <v>54</v>
      </c>
      <c r="B19" s="208"/>
      <c r="C19" s="208"/>
    </row>
    <row r="20" spans="1:3" ht="18" customHeight="1" x14ac:dyDescent="0.3">
      <c r="A20" s="179" t="s">
        <v>178</v>
      </c>
      <c r="B20" s="192">
        <v>12</v>
      </c>
      <c r="C20" s="181" t="s">
        <v>60</v>
      </c>
    </row>
    <row r="21" spans="1:3" ht="18" customHeight="1" x14ac:dyDescent="0.3">
      <c r="A21" s="179" t="s">
        <v>336</v>
      </c>
      <c r="B21" s="182">
        <v>15</v>
      </c>
      <c r="C21" s="181" t="s">
        <v>337</v>
      </c>
    </row>
    <row r="22" spans="1:3" ht="18" customHeight="1" x14ac:dyDescent="0.3">
      <c r="A22" s="179" t="s">
        <v>176</v>
      </c>
      <c r="B22" s="192">
        <v>45</v>
      </c>
      <c r="C22" s="181" t="s">
        <v>60</v>
      </c>
    </row>
    <row r="23" spans="1:3" ht="7.5" customHeight="1" x14ac:dyDescent="0.3"/>
    <row r="24" spans="1:3" ht="19.5" customHeight="1" x14ac:dyDescent="0.3">
      <c r="A24" s="205" t="s">
        <v>208</v>
      </c>
      <c r="B24" s="205"/>
      <c r="C24" s="205"/>
    </row>
    <row r="25" spans="1:3" ht="18" customHeight="1" x14ac:dyDescent="0.3">
      <c r="A25" s="16" t="s">
        <v>209</v>
      </c>
      <c r="B25" s="17">
        <f>IFERROR((B20*B14-B9+B10)/B7,"")</f>
        <v>1232.1428571428571</v>
      </c>
      <c r="C25" s="18" t="s">
        <v>39</v>
      </c>
    </row>
    <row r="26" spans="1:3" ht="18" customHeight="1" x14ac:dyDescent="0.3">
      <c r="A26" s="19" t="s">
        <v>62</v>
      </c>
      <c r="B26" s="20">
        <f>IFERROR((B25-B6)/B6,"")</f>
        <v>-0.29591836734693877</v>
      </c>
      <c r="C26" s="21" t="s">
        <v>47</v>
      </c>
    </row>
    <row r="27" spans="1:3" ht="7.5" customHeight="1" x14ac:dyDescent="0.3"/>
    <row r="28" spans="1:3" ht="19.5" customHeight="1" x14ac:dyDescent="0.3">
      <c r="A28" s="205" t="s">
        <v>338</v>
      </c>
      <c r="B28" s="205"/>
      <c r="C28" s="205"/>
    </row>
    <row r="29" spans="1:3" ht="18" customHeight="1" x14ac:dyDescent="0.3">
      <c r="A29" s="16" t="s">
        <v>339</v>
      </c>
      <c r="B29" s="30">
        <f>IFERROR(B21*B16*100,"")</f>
        <v>825000</v>
      </c>
      <c r="C29" s="18" t="s">
        <v>80</v>
      </c>
    </row>
    <row r="30" spans="1:3" ht="18" customHeight="1" x14ac:dyDescent="0.3">
      <c r="A30" s="16" t="s">
        <v>180</v>
      </c>
      <c r="B30" s="17">
        <f>IFERROR((B29-B9+B10)/B7,"")</f>
        <v>1098.2142857142858</v>
      </c>
      <c r="C30" s="18" t="s">
        <v>39</v>
      </c>
    </row>
    <row r="31" spans="1:3" ht="18" customHeight="1" x14ac:dyDescent="0.3">
      <c r="A31" s="19" t="s">
        <v>62</v>
      </c>
      <c r="B31" s="20">
        <f>IFERROR((B30-B6)/B6,"")</f>
        <v>-0.3724489795918367</v>
      </c>
      <c r="C31" s="21" t="s">
        <v>47</v>
      </c>
    </row>
    <row r="32" spans="1:3" ht="7.5" customHeight="1" x14ac:dyDescent="0.3"/>
    <row r="33" spans="1:3" ht="19.5" customHeight="1" x14ac:dyDescent="0.3">
      <c r="A33" s="205" t="s">
        <v>66</v>
      </c>
      <c r="B33" s="205"/>
      <c r="C33" s="205"/>
    </row>
    <row r="34" spans="1:3" ht="18" customHeight="1" x14ac:dyDescent="0.3">
      <c r="A34" s="16" t="s">
        <v>68</v>
      </c>
      <c r="B34" s="17">
        <f>IFERROR(B22*B8,"")</f>
        <v>1575</v>
      </c>
      <c r="C34" s="18" t="s">
        <v>39</v>
      </c>
    </row>
    <row r="35" spans="1:3" ht="18" customHeight="1" x14ac:dyDescent="0.3">
      <c r="A35" s="19" t="s">
        <v>62</v>
      </c>
      <c r="B35" s="20">
        <f>IFERROR((B34-B6)/B6,"")</f>
        <v>-0.1</v>
      </c>
      <c r="C35" s="21" t="s">
        <v>47</v>
      </c>
    </row>
    <row r="36" spans="1:3" ht="7.5" customHeight="1" x14ac:dyDescent="0.3"/>
    <row r="37" spans="1:3" ht="19.5" customHeight="1" x14ac:dyDescent="0.3">
      <c r="A37" s="200" t="s">
        <v>71</v>
      </c>
      <c r="B37" s="200"/>
      <c r="C37" s="200"/>
    </row>
    <row r="38" spans="1:3" ht="19.5" customHeight="1" x14ac:dyDescent="0.3">
      <c r="A38" s="23" t="s">
        <v>38</v>
      </c>
      <c r="B38" s="24">
        <f>B6</f>
        <v>1750</v>
      </c>
      <c r="C38" s="25" t="s">
        <v>39</v>
      </c>
    </row>
    <row r="39" spans="1:3" ht="19.5" customHeight="1" x14ac:dyDescent="0.3">
      <c r="A39" s="23" t="s">
        <v>183</v>
      </c>
      <c r="B39" s="24">
        <f>IFERROR(B25,"")</f>
        <v>1232.1428571428571</v>
      </c>
      <c r="C39" s="25" t="s">
        <v>39</v>
      </c>
    </row>
    <row r="40" spans="1:3" ht="19.5" customHeight="1" x14ac:dyDescent="0.3">
      <c r="A40" s="23" t="s">
        <v>356</v>
      </c>
      <c r="B40" s="24">
        <f>B157</f>
        <v>966.99878246753258</v>
      </c>
      <c r="C40" s="25" t="s">
        <v>39</v>
      </c>
    </row>
    <row r="41" spans="1:3" ht="19.5" customHeight="1" x14ac:dyDescent="0.3">
      <c r="A41" s="23" t="s">
        <v>340</v>
      </c>
      <c r="B41" s="24">
        <f>IFERROR(B30,"")</f>
        <v>1098.2142857142858</v>
      </c>
      <c r="C41" s="25" t="s">
        <v>39</v>
      </c>
    </row>
    <row r="42" spans="1:3" ht="19.5" customHeight="1" x14ac:dyDescent="0.3">
      <c r="A42" s="23" t="s">
        <v>182</v>
      </c>
      <c r="B42" s="24">
        <f>IFERROR(B34,"")</f>
        <v>1575</v>
      </c>
      <c r="C42" s="25" t="s">
        <v>39</v>
      </c>
    </row>
    <row r="43" spans="1:3" ht="19.5" customHeight="1" x14ac:dyDescent="0.3">
      <c r="A43" s="139" t="s">
        <v>76</v>
      </c>
      <c r="B43" s="99">
        <f>IFERROR(AVERAGE(B39:B42),"")</f>
        <v>1218.0889813311687</v>
      </c>
      <c r="C43" s="28" t="s">
        <v>39</v>
      </c>
    </row>
    <row r="44" spans="1:3" ht="19.5" customHeight="1" x14ac:dyDescent="0.3">
      <c r="A44" s="139" t="s">
        <v>77</v>
      </c>
      <c r="B44" s="107">
        <f>IFERROR((B43-B6)/B6,"")</f>
        <v>-0.30394915352504642</v>
      </c>
      <c r="C44" s="28" t="s">
        <v>47</v>
      </c>
    </row>
    <row r="45" spans="1:3" ht="7.5" customHeight="1" x14ac:dyDescent="0.3"/>
    <row r="46" spans="1:3" ht="19.5" customHeight="1" x14ac:dyDescent="0.3">
      <c r="A46" s="199" t="s">
        <v>78</v>
      </c>
      <c r="B46" s="199"/>
      <c r="C46" s="199"/>
    </row>
    <row r="47" spans="1:3" ht="18" customHeight="1" x14ac:dyDescent="0.3">
      <c r="A47" s="16" t="s">
        <v>79</v>
      </c>
      <c r="B47" s="30">
        <f>IFERROR(B6*B7,"")</f>
        <v>980000</v>
      </c>
      <c r="C47" s="18" t="s">
        <v>80</v>
      </c>
    </row>
    <row r="48" spans="1:3" ht="18" customHeight="1" x14ac:dyDescent="0.3">
      <c r="A48" s="16" t="s">
        <v>213</v>
      </c>
      <c r="B48" s="30">
        <f>IFERROR(B9-B10,"")</f>
        <v>210000</v>
      </c>
      <c r="C48" s="18" t="s">
        <v>80</v>
      </c>
    </row>
    <row r="49" spans="1:3" ht="18" customHeight="1" x14ac:dyDescent="0.3">
      <c r="A49" s="16" t="s">
        <v>184</v>
      </c>
      <c r="B49" s="22">
        <f>IFERROR((B6*B7+B9-B10)/B14,"")</f>
        <v>15.866666666666667</v>
      </c>
      <c r="C49" s="18" t="s">
        <v>60</v>
      </c>
    </row>
    <row r="50" spans="1:3" ht="18" customHeight="1" x14ac:dyDescent="0.3">
      <c r="A50" s="16" t="s">
        <v>341</v>
      </c>
      <c r="B50" s="17">
        <f>IFERROR((B6*B7+B9-B10)/(B16*100),"")</f>
        <v>21.636363636363637</v>
      </c>
      <c r="C50" s="18" t="s">
        <v>342</v>
      </c>
    </row>
    <row r="51" spans="1:3" ht="18" customHeight="1" x14ac:dyDescent="0.3">
      <c r="A51" s="16" t="s">
        <v>200</v>
      </c>
      <c r="B51" s="31">
        <f>B15</f>
        <v>0.5</v>
      </c>
      <c r="C51" s="18" t="s">
        <v>47</v>
      </c>
    </row>
    <row r="52" spans="1:3" ht="18" customHeight="1" x14ac:dyDescent="0.3">
      <c r="A52" s="16" t="s">
        <v>343</v>
      </c>
      <c r="B52" s="17">
        <f>B17</f>
        <v>215</v>
      </c>
      <c r="C52" s="18" t="s">
        <v>335</v>
      </c>
    </row>
    <row r="54" spans="1:3" ht="33.75" customHeight="1" x14ac:dyDescent="0.3">
      <c r="A54" s="203" t="s">
        <v>84</v>
      </c>
      <c r="B54" s="203"/>
      <c r="C54" s="203"/>
    </row>
    <row r="55" spans="1:3" ht="24" customHeight="1" x14ac:dyDescent="0.3">
      <c r="A55" s="204" t="s">
        <v>85</v>
      </c>
      <c r="B55" s="204"/>
      <c r="C55" s="204"/>
    </row>
    <row r="56" spans="1:3" ht="7.5" customHeight="1" x14ac:dyDescent="0.3"/>
    <row r="57" spans="1:3" ht="19.5" customHeight="1" x14ac:dyDescent="0.3">
      <c r="A57" s="199" t="s">
        <v>86</v>
      </c>
      <c r="B57" s="199"/>
      <c r="C57" s="199"/>
    </row>
    <row r="58" spans="1:3" ht="18" customHeight="1" x14ac:dyDescent="0.3">
      <c r="A58" s="11" t="s">
        <v>38</v>
      </c>
      <c r="B58" s="32">
        <f>B6</f>
        <v>1750</v>
      </c>
      <c r="C58" s="33" t="s">
        <v>39</v>
      </c>
    </row>
    <row r="59" spans="1:3" ht="18" customHeight="1" x14ac:dyDescent="0.3">
      <c r="A59" s="11" t="s">
        <v>76</v>
      </c>
      <c r="B59" s="32">
        <f>B43</f>
        <v>1218.0889813311687</v>
      </c>
      <c r="C59" s="33" t="s">
        <v>39</v>
      </c>
    </row>
    <row r="60" spans="1:3" ht="19.5" customHeight="1" x14ac:dyDescent="0.3">
      <c r="A60" s="34" t="s">
        <v>87</v>
      </c>
      <c r="B60" s="35">
        <f>B44</f>
        <v>-0.30394915352504642</v>
      </c>
      <c r="C60" s="36" t="s">
        <v>47</v>
      </c>
    </row>
    <row r="61" spans="1:3" ht="7.5" customHeight="1" x14ac:dyDescent="0.3"/>
    <row r="62" spans="1:3" ht="19.5" customHeight="1" x14ac:dyDescent="0.3">
      <c r="A62" s="199" t="s">
        <v>88</v>
      </c>
      <c r="B62" s="199"/>
      <c r="C62" s="199"/>
    </row>
    <row r="63" spans="1:3" ht="21.75" customHeight="1" x14ac:dyDescent="0.3">
      <c r="A63" s="11" t="s">
        <v>216</v>
      </c>
      <c r="B63" s="37" t="str">
        <f>IF(B26="","— Enter Data —",IF(B26&gt;0.2,"STRONG BUY",IF(B26&gt;0.1,"BUY",IF(B26&gt;=-0.1,"HOLD",IF(B26&gt;=-0.2,"SELL","STRONG SELL")))))</f>
        <v>STRONG SELL</v>
      </c>
      <c r="C63" s="38"/>
    </row>
    <row r="64" spans="1:3" ht="21.75" customHeight="1" x14ac:dyDescent="0.3">
      <c r="A64" s="11" t="s">
        <v>344</v>
      </c>
      <c r="B64" s="37" t="str">
        <f>IF(B31="","— Enter Data —",IF(B31&gt;0.2,"STRONG BUY",IF(B31&gt;0.1,"BUY",IF(B31&gt;=-0.1,"HOLD",IF(B31&gt;=-0.2,"SELL","STRONG SELL")))))</f>
        <v>STRONG SELL</v>
      </c>
      <c r="C64" s="38"/>
    </row>
    <row r="65" spans="1:3" ht="21.75" customHeight="1" x14ac:dyDescent="0.3">
      <c r="A65" s="11" t="s">
        <v>91</v>
      </c>
      <c r="B65" s="37" t="str">
        <f>IF(B35="","— Enter Data —",IF(B35&gt;0.2,"STRONG BUY",IF(B35&gt;0.1,"BUY",IF(B35&gt;=-0.1,"HOLD",IF(B35&gt;=-0.2,"SELL","STRONG SELL")))))</f>
        <v>HOLD</v>
      </c>
      <c r="C65" s="38"/>
    </row>
    <row r="66" spans="1:3" ht="21.75" customHeight="1" x14ac:dyDescent="0.3">
      <c r="A66" s="11" t="s">
        <v>354</v>
      </c>
      <c r="B66" s="37" t="str">
        <f>IF(B158="","— Enter Data —",IF(B158&gt;0.2,"STRONG BUY",IF(B158&gt;0.1,"BUY",IF(B158&gt;=-0.1,"HOLD",IF(B158&gt;=-0.2,"SELL","STRONG SELL")))))</f>
        <v>STRONG SELL</v>
      </c>
      <c r="C66" s="38"/>
    </row>
    <row r="67" spans="1:3" ht="7.5" customHeight="1" x14ac:dyDescent="0.3"/>
    <row r="68" spans="1:3" ht="19.5" customHeight="1" x14ac:dyDescent="0.3">
      <c r="A68" s="199" t="s">
        <v>93</v>
      </c>
      <c r="B68" s="199"/>
      <c r="C68" s="199"/>
    </row>
    <row r="69" spans="1:3" ht="18" customHeight="1" x14ac:dyDescent="0.3">
      <c r="A69" s="11" t="s">
        <v>94</v>
      </c>
      <c r="B69" s="39">
        <f>COUNTIF(B63,"*BUY*")+COUNTIF(B64,"*BUY*")+COUNTIF(B66,"*BUY*")+COUNTIF(B65,"*BUY*")</f>
        <v>0</v>
      </c>
      <c r="C69" s="33" t="s">
        <v>190</v>
      </c>
    </row>
    <row r="70" spans="1:3" ht="18" customHeight="1" x14ac:dyDescent="0.3">
      <c r="A70" s="11" t="s">
        <v>96</v>
      </c>
      <c r="B70" s="40">
        <f>COUNTIF(B63,"HOLD")+COUNTIF(B64,"HOLD")+COUNTIF(B66,"HOLD")+COUNTIF(B65,"HOLD")</f>
        <v>1</v>
      </c>
      <c r="C70" s="33" t="s">
        <v>190</v>
      </c>
    </row>
    <row r="71" spans="1:3" ht="18" customHeight="1" x14ac:dyDescent="0.3">
      <c r="A71" s="11" t="s">
        <v>97</v>
      </c>
      <c r="B71" s="41">
        <f>COUNTIF(B63,"*SELL*")+COUNTIF(B64,"*SELL*")+COUNTIF(B66,"*SELL*")+COUNTIF(B65,"*SELL*")</f>
        <v>3</v>
      </c>
      <c r="C71" s="33" t="s">
        <v>190</v>
      </c>
    </row>
    <row r="72" spans="1:3" ht="9.75" customHeight="1" x14ac:dyDescent="0.3"/>
    <row r="73" spans="1:3" ht="19.5" customHeight="1" x14ac:dyDescent="0.3">
      <c r="A73" s="200" t="s">
        <v>98</v>
      </c>
      <c r="B73" s="200"/>
      <c r="C73" s="200"/>
    </row>
    <row r="74" spans="1:3" ht="37.5" customHeight="1" x14ac:dyDescent="0.3">
      <c r="A74" s="42" t="s">
        <v>99</v>
      </c>
      <c r="B74" s="43" t="str">
        <f>IF(B44="","— Enter Data —",IF(B44&gt;0.2,"STRONG BUY",IF(B44&gt;0.1,"BUY",IF(B44&gt;=-0.1,"HOLD",IF(B44&gt;=-0.2,"SELL","STRONG SELL")))))</f>
        <v>STRONG SELL</v>
      </c>
      <c r="C74" s="11"/>
    </row>
    <row r="75" spans="1:3" ht="18" customHeight="1" x14ac:dyDescent="0.3">
      <c r="A75" s="44" t="s">
        <v>100</v>
      </c>
      <c r="B75" s="45">
        <f>B44</f>
        <v>-0.30394915352504642</v>
      </c>
      <c r="C75" s="33" t="s">
        <v>101</v>
      </c>
    </row>
    <row r="76" spans="1:3" ht="6" customHeight="1" x14ac:dyDescent="0.3"/>
    <row r="77" spans="1:3" ht="36" customHeight="1" x14ac:dyDescent="0.3">
      <c r="A77" s="201" t="s">
        <v>102</v>
      </c>
      <c r="B77" s="201"/>
      <c r="C77" s="201"/>
    </row>
    <row r="80" spans="1:3" ht="33.75" customHeight="1" x14ac:dyDescent="0.3">
      <c r="A80" s="202" t="s">
        <v>103</v>
      </c>
      <c r="B80" s="202"/>
      <c r="C80" s="202"/>
    </row>
    <row r="81" spans="1:3" ht="25.5" customHeight="1" x14ac:dyDescent="0.3">
      <c r="A81" s="198" t="s">
        <v>104</v>
      </c>
      <c r="B81" s="198"/>
      <c r="C81" s="198"/>
    </row>
    <row r="82" spans="1:3" ht="7.5" customHeight="1" x14ac:dyDescent="0.3"/>
    <row r="83" spans="1:3" ht="19.5" customHeight="1" x14ac:dyDescent="0.3">
      <c r="A83" s="196" t="s">
        <v>105</v>
      </c>
      <c r="B83" s="196"/>
      <c r="C83" s="196"/>
    </row>
    <row r="84" spans="1:3" ht="19.5" customHeight="1" x14ac:dyDescent="0.3">
      <c r="A84" s="11" t="s">
        <v>106</v>
      </c>
      <c r="B84" s="178">
        <v>0.2</v>
      </c>
      <c r="C84" s="33" t="s">
        <v>191</v>
      </c>
    </row>
    <row r="85" spans="1:3" ht="19.5" customHeight="1" x14ac:dyDescent="0.3">
      <c r="A85" s="11" t="s">
        <v>108</v>
      </c>
      <c r="B85" s="178">
        <v>0.12</v>
      </c>
      <c r="C85" s="33" t="s">
        <v>192</v>
      </c>
    </row>
    <row r="86" spans="1:3" ht="7.5" customHeight="1" x14ac:dyDescent="0.3"/>
    <row r="87" spans="1:3" ht="19.5" customHeight="1" x14ac:dyDescent="0.3">
      <c r="A87" s="197" t="s">
        <v>110</v>
      </c>
      <c r="B87" s="197"/>
      <c r="C87" s="197"/>
    </row>
    <row r="88" spans="1:3" ht="18" customHeight="1" x14ac:dyDescent="0.3">
      <c r="A88" s="46" t="s">
        <v>111</v>
      </c>
      <c r="B88" s="46" t="s">
        <v>112</v>
      </c>
      <c r="C88" s="46" t="s">
        <v>113</v>
      </c>
    </row>
    <row r="89" spans="1:3" ht="25.5" customHeight="1" x14ac:dyDescent="0.3">
      <c r="A89" s="47" t="s">
        <v>114</v>
      </c>
      <c r="B89" s="110">
        <f>IFERROR(B43*(1-B84*1.5),"")</f>
        <v>852.66228693181802</v>
      </c>
      <c r="C89" s="49" t="str">
        <f>IF(OR(B6="",B89=""),"—",IF(ABS(B6-B89)/B89&lt;0.005,"  ◆  CMP IS HERE",IF(B6&lt;B89,"  ✅  BELOW — ENTRY OPEN","  ⬆  ABOVE — NOT YET")))</f>
        <v xml:space="preserve">  ⬆  ABOVE — NOT YET</v>
      </c>
    </row>
    <row r="90" spans="1:3" ht="25.5" customHeight="1" x14ac:dyDescent="0.3">
      <c r="A90" s="50" t="s">
        <v>115</v>
      </c>
      <c r="B90" s="114">
        <f>IFERROR(B43*(1-B84),"")</f>
        <v>974.47118506493507</v>
      </c>
      <c r="C90" s="52" t="str">
        <f>IF(OR(B6="",B90=""),"—",IF(ABS(B6-B90)/B90&lt;0.005,"  ◆  CMP IS HERE",IF(B6&lt;B90,"  ✅  BELOW — ENTRY OPEN","  ⬆  ABOVE — NOT YET")))</f>
        <v xml:space="preserve">  ⬆  ABOVE — NOT YET</v>
      </c>
    </row>
    <row r="91" spans="1:3" ht="25.5" customHeight="1" x14ac:dyDescent="0.3">
      <c r="A91" s="53" t="s">
        <v>116</v>
      </c>
      <c r="B91" s="118">
        <f>IFERROR(B43*(1-B84*0.5),"")</f>
        <v>1096.2800831980519</v>
      </c>
      <c r="C91" s="55" t="str">
        <f>IF(OR(B6="",B91=""),"—",IF(ABS(B6-B91)/B91&lt;0.005,"  ◆  CMP IS HERE",IF(B6&lt;B91,"  ✅  BELOW — ENTRY OPEN","  ⬆  ABOVE — NOT YET")))</f>
        <v xml:space="preserve">  ⬆  ABOVE — NOT YET</v>
      </c>
    </row>
    <row r="92" spans="1:3" ht="25.5" customHeight="1" x14ac:dyDescent="0.3">
      <c r="A92" s="56" t="s">
        <v>117</v>
      </c>
      <c r="B92" s="122">
        <f>B43</f>
        <v>1218.0889813311687</v>
      </c>
      <c r="C92" s="58" t="str">
        <f>IF(OR(B6="",B92=""),"—",IF(ABS(B6-B92)/B92&lt;0.005,"  ◆  CMP IS HERE",IF(B6&lt;B92,"  ✅  BELOW — ENTRY OPEN","  ⬆  ABOVE — NOT YET")))</f>
        <v xml:space="preserve">  ⬆  ABOVE — NOT YET</v>
      </c>
    </row>
    <row r="93" spans="1:3" ht="25.5" customHeight="1" x14ac:dyDescent="0.3">
      <c r="A93" s="59" t="s">
        <v>118</v>
      </c>
      <c r="B93" s="126">
        <f>IFERROR(B43*1.15,"")</f>
        <v>1400.8023285308439</v>
      </c>
      <c r="C93" s="61" t="str">
        <f>IF(OR(B6="",B93=""),"—",IF(ABS(B6-B93)/B93&lt;0.005,"  ◆  CMP IS HERE",IF(B6&lt;B93,"  ✅  BELOW — ENTRY OPEN","  ⬆  ABOVE — NOT YET")))</f>
        <v xml:space="preserve">  ⬆  ABOVE — NOT YET</v>
      </c>
    </row>
    <row r="94" spans="1:3" ht="25.5" customHeight="1" x14ac:dyDescent="0.3">
      <c r="A94" s="62" t="s">
        <v>119</v>
      </c>
      <c r="B94" s="130">
        <f>IFERROR(B43*1.25,"")</f>
        <v>1522.6112266639609</v>
      </c>
      <c r="C94" s="64" t="str">
        <f>IF(OR(B6="",B94=""),"—",IF(ABS(B6-B94)/B94&lt;0.005,"  ◆  CMP IS HERE",IF(B6&lt;B94,"  ✅  BELOW — ENTRY OPEN","  ⬆  ABOVE — NOT YET")))</f>
        <v xml:space="preserve">  ⬆  ABOVE — NOT YET</v>
      </c>
    </row>
    <row r="95" spans="1:3" ht="25.5" customHeight="1" x14ac:dyDescent="0.3">
      <c r="A95" s="65" t="s">
        <v>120</v>
      </c>
      <c r="B95" s="134">
        <f>IFERROR(B89*(1-B85),"")</f>
        <v>750.34281249999981</v>
      </c>
      <c r="C95" s="67" t="str">
        <f>IF(OR(B6="",B95=""),"—",IF(ABS(B6-B95)/B95&lt;0.005,"  ◆  CMP IS HERE",IF(B6&lt;B95,"  ✅  BELOW — ENTRY OPEN","  ⬆  ABOVE — NOT YET")))</f>
        <v xml:space="preserve">  ⬆  ABOVE — NOT YET</v>
      </c>
    </row>
    <row r="96" spans="1:3" ht="25.5" customHeight="1" x14ac:dyDescent="0.3">
      <c r="A96" s="184"/>
      <c r="B96" s="187"/>
      <c r="C96" s="186"/>
    </row>
    <row r="97" spans="1:3" ht="48.6" customHeight="1" x14ac:dyDescent="0.3">
      <c r="A97" s="198" t="s">
        <v>350</v>
      </c>
      <c r="B97" s="198"/>
      <c r="C97" s="198"/>
    </row>
    <row r="98" spans="1:3" ht="7.5" customHeight="1" x14ac:dyDescent="0.3"/>
    <row r="99" spans="1:3" ht="19.5" customHeight="1" x14ac:dyDescent="0.3">
      <c r="A99" s="196" t="s">
        <v>121</v>
      </c>
      <c r="B99" s="196"/>
      <c r="C99" s="196"/>
    </row>
    <row r="100" spans="1:3" ht="19.5" customHeight="1" x14ac:dyDescent="0.3">
      <c r="A100" s="11" t="s">
        <v>122</v>
      </c>
      <c r="B100" s="68">
        <f>B6</f>
        <v>1750</v>
      </c>
      <c r="C100" s="33" t="s">
        <v>39</v>
      </c>
    </row>
    <row r="101" spans="1:3" ht="27.75" customHeight="1" x14ac:dyDescent="0.3">
      <c r="A101" s="69" t="s">
        <v>123</v>
      </c>
      <c r="B101" s="70" t="str">
        <f>IF(OR(B6="",B43=""),"Enter data above",IF(B6&lt;=B43*(1-B89*1.5),"** STRONG BUY ** Excellent Entry",IF(B6&lt;=B43*(1-B89),"BUY - Good Entry",IF(B6&lt;=B43*(1-B89*0.5),"ACCUMULATE - Reasonable Entry",IF(B6&lt;=B43,"Near Fair Value - Cautious",IF(B6&lt;=B43*1.15,"Above Fair Value - Consider Trimming",IF(B6&lt;=B43*1.25,"EXPENSIVE - Consider Exiting","OVERVALUED - Exit Now")))))))</f>
        <v>OVERVALUED - Exit Now</v>
      </c>
      <c r="C101" s="71"/>
    </row>
    <row r="102" spans="1:3" ht="7.5" customHeight="1" x14ac:dyDescent="0.3"/>
    <row r="103" spans="1:3" ht="19.5" customHeight="1" x14ac:dyDescent="0.3">
      <c r="A103" s="197" t="s">
        <v>124</v>
      </c>
      <c r="B103" s="197"/>
      <c r="C103" s="197"/>
    </row>
    <row r="104" spans="1:3" ht="19.5" customHeight="1" x14ac:dyDescent="0.3">
      <c r="A104" s="72" t="s">
        <v>125</v>
      </c>
      <c r="B104" s="73" t="s">
        <v>126</v>
      </c>
      <c r="C104" s="74"/>
    </row>
    <row r="105" spans="1:3" ht="19.5" customHeight="1" x14ac:dyDescent="0.3">
      <c r="A105" s="75" t="s">
        <v>127</v>
      </c>
      <c r="B105" s="76" t="s">
        <v>128</v>
      </c>
      <c r="C105" s="76"/>
    </row>
    <row r="106" spans="1:3" ht="19.5" customHeight="1" x14ac:dyDescent="0.3">
      <c r="A106" s="77" t="s">
        <v>129</v>
      </c>
      <c r="B106" s="78" t="s">
        <v>130</v>
      </c>
      <c r="C106" s="78"/>
    </row>
    <row r="107" spans="1:3" ht="19.5" customHeight="1" x14ac:dyDescent="0.3">
      <c r="A107" s="79" t="s">
        <v>131</v>
      </c>
      <c r="B107" s="80" t="s">
        <v>132</v>
      </c>
      <c r="C107" s="80"/>
    </row>
    <row r="108" spans="1:3" ht="19.5" customHeight="1" x14ac:dyDescent="0.3">
      <c r="A108" s="81" t="s">
        <v>133</v>
      </c>
      <c r="B108" s="82" t="s">
        <v>134</v>
      </c>
      <c r="C108" s="82"/>
    </row>
    <row r="109" spans="1:3" ht="19.5" customHeight="1" x14ac:dyDescent="0.3">
      <c r="A109" s="83" t="s">
        <v>135</v>
      </c>
      <c r="B109" s="84" t="s">
        <v>136</v>
      </c>
      <c r="C109" s="84"/>
    </row>
    <row r="110" spans="1:3" ht="19.5" customHeight="1" x14ac:dyDescent="0.3">
      <c r="A110" s="85" t="s">
        <v>137</v>
      </c>
      <c r="B110" s="86" t="s">
        <v>138</v>
      </c>
      <c r="C110" s="87"/>
    </row>
    <row r="111" spans="1:3" ht="7.5" customHeight="1" x14ac:dyDescent="0.3"/>
    <row r="112" spans="1:3" ht="43.5" customHeight="1" x14ac:dyDescent="0.3">
      <c r="A112" s="198" t="s">
        <v>139</v>
      </c>
      <c r="B112" s="198"/>
      <c r="C112" s="198"/>
    </row>
    <row r="115" spans="1:8" ht="36" customHeight="1" x14ac:dyDescent="0.3">
      <c r="A115" s="222" t="s">
        <v>345</v>
      </c>
      <c r="B115" s="222"/>
      <c r="C115" s="222"/>
      <c r="D115" s="222"/>
      <c r="E115" s="222"/>
      <c r="F115" s="222"/>
      <c r="G115" s="222"/>
      <c r="H115" s="222"/>
    </row>
    <row r="116" spans="1:8" ht="30" customHeight="1" x14ac:dyDescent="0.3">
      <c r="A116" s="198" t="s">
        <v>219</v>
      </c>
      <c r="B116" s="198"/>
      <c r="C116" s="198"/>
      <c r="D116" s="198"/>
      <c r="E116" s="198"/>
      <c r="F116" s="198"/>
      <c r="G116" s="198"/>
      <c r="H116" s="198"/>
    </row>
    <row r="117" spans="1:8" ht="9.75" customHeight="1" x14ac:dyDescent="0.3"/>
    <row r="118" spans="1:8" ht="21.75" customHeight="1" x14ac:dyDescent="0.3">
      <c r="A118" s="220" t="s">
        <v>220</v>
      </c>
      <c r="B118" s="220"/>
      <c r="C118" s="220"/>
      <c r="D118" s="220"/>
      <c r="E118" s="220"/>
      <c r="F118" s="220"/>
      <c r="G118" s="220"/>
      <c r="H118" s="220"/>
    </row>
    <row r="119" spans="1:8" ht="19.5" customHeight="1" x14ac:dyDescent="0.3">
      <c r="A119" s="11" t="s">
        <v>221</v>
      </c>
      <c r="B119" s="178">
        <v>0.1</v>
      </c>
      <c r="C119" s="33" t="s">
        <v>47</v>
      </c>
      <c r="D119" s="109"/>
      <c r="E119" s="109"/>
      <c r="F119" s="109"/>
      <c r="G119" s="109"/>
      <c r="H119" s="109"/>
    </row>
    <row r="120" spans="1:8" ht="19.5" customHeight="1" x14ac:dyDescent="0.3">
      <c r="A120" s="11" t="s">
        <v>222</v>
      </c>
      <c r="B120" s="178">
        <v>0.1</v>
      </c>
      <c r="C120" s="33" t="s">
        <v>47</v>
      </c>
      <c r="D120" s="109"/>
      <c r="E120" s="109"/>
      <c r="F120" s="109"/>
      <c r="G120" s="109"/>
      <c r="H120" s="109"/>
    </row>
    <row r="121" spans="1:8" ht="19.5" customHeight="1" x14ac:dyDescent="0.3">
      <c r="A121" s="11" t="s">
        <v>223</v>
      </c>
      <c r="B121" s="178">
        <v>7.0000000000000007E-2</v>
      </c>
      <c r="C121" s="33" t="s">
        <v>47</v>
      </c>
      <c r="D121" s="109"/>
      <c r="E121" s="109"/>
      <c r="F121" s="109"/>
      <c r="G121" s="109"/>
      <c r="H121" s="109"/>
    </row>
    <row r="122" spans="1:8" ht="19.5" customHeight="1" x14ac:dyDescent="0.3">
      <c r="A122" s="11" t="s">
        <v>224</v>
      </c>
      <c r="B122" s="178">
        <v>0.04</v>
      </c>
      <c r="C122" s="33" t="s">
        <v>47</v>
      </c>
      <c r="D122" s="109"/>
      <c r="E122" s="109"/>
      <c r="F122" s="109"/>
      <c r="G122" s="109"/>
      <c r="H122" s="109"/>
    </row>
    <row r="123" spans="1:8" ht="19.5" customHeight="1" x14ac:dyDescent="0.3">
      <c r="A123" s="11" t="s">
        <v>225</v>
      </c>
      <c r="B123" s="140">
        <f>B15</f>
        <v>0.5</v>
      </c>
      <c r="C123" s="33" t="s">
        <v>47</v>
      </c>
      <c r="D123" s="109"/>
      <c r="E123" s="109"/>
      <c r="F123" s="109"/>
      <c r="G123" s="109"/>
      <c r="H123" s="109"/>
    </row>
    <row r="124" spans="1:8" ht="19.5" customHeight="1" x14ac:dyDescent="0.3">
      <c r="A124" s="11" t="s">
        <v>153</v>
      </c>
      <c r="B124" s="178">
        <v>0.25</v>
      </c>
      <c r="C124" s="33" t="s">
        <v>47</v>
      </c>
      <c r="D124" s="109"/>
      <c r="E124" s="109"/>
      <c r="F124" s="109"/>
      <c r="G124" s="109"/>
      <c r="H124" s="109"/>
    </row>
    <row r="125" spans="1:8" ht="19.5" customHeight="1" x14ac:dyDescent="0.3">
      <c r="A125" s="11" t="s">
        <v>154</v>
      </c>
      <c r="B125" s="178">
        <v>0.2</v>
      </c>
      <c r="C125" s="33" t="s">
        <v>47</v>
      </c>
      <c r="D125" s="109"/>
      <c r="E125" s="109"/>
      <c r="F125" s="109"/>
      <c r="G125" s="109"/>
      <c r="H125" s="109"/>
    </row>
    <row r="126" spans="1:8" ht="19.5" customHeight="1" x14ac:dyDescent="0.3">
      <c r="A126" s="11" t="s">
        <v>226</v>
      </c>
      <c r="B126" s="178">
        <v>0.18</v>
      </c>
      <c r="C126" s="33" t="s">
        <v>47</v>
      </c>
      <c r="D126" s="109"/>
      <c r="E126" s="109"/>
      <c r="F126" s="109"/>
      <c r="G126" s="109"/>
      <c r="H126" s="109"/>
    </row>
    <row r="127" spans="1:8" ht="19.5" customHeight="1" x14ac:dyDescent="0.3">
      <c r="A127" s="11" t="s">
        <v>156</v>
      </c>
      <c r="B127" s="178">
        <v>0.01</v>
      </c>
      <c r="C127" s="33" t="s">
        <v>47</v>
      </c>
      <c r="D127" s="109"/>
      <c r="E127" s="109"/>
      <c r="F127" s="109"/>
      <c r="G127" s="109"/>
      <c r="H127" s="109"/>
    </row>
    <row r="128" spans="1:8" ht="7.5" customHeight="1" x14ac:dyDescent="0.3"/>
    <row r="129" spans="1:8" ht="21.75" customHeight="1" x14ac:dyDescent="0.3">
      <c r="A129" s="220" t="s">
        <v>227</v>
      </c>
      <c r="B129" s="220"/>
      <c r="C129" s="220"/>
      <c r="D129" s="220"/>
      <c r="E129" s="220"/>
      <c r="F129" s="220"/>
      <c r="G129" s="220"/>
      <c r="H129" s="220"/>
    </row>
    <row r="130" spans="1:8" ht="18" customHeight="1" x14ac:dyDescent="0.3">
      <c r="A130" s="11" t="s">
        <v>228</v>
      </c>
      <c r="B130" s="141">
        <f>B13</f>
        <v>150000</v>
      </c>
      <c r="C130" s="33" t="s">
        <v>80</v>
      </c>
      <c r="D130" s="109"/>
      <c r="E130" s="109"/>
      <c r="F130" s="109"/>
      <c r="G130" s="109"/>
      <c r="H130" s="109"/>
    </row>
    <row r="131" spans="1:8" ht="18" customHeight="1" x14ac:dyDescent="0.3">
      <c r="A131" s="11" t="s">
        <v>229</v>
      </c>
      <c r="B131" s="141">
        <f>B14</f>
        <v>75000</v>
      </c>
      <c r="C131" s="33" t="s">
        <v>80</v>
      </c>
      <c r="D131" s="109"/>
      <c r="E131" s="109"/>
      <c r="F131" s="109"/>
      <c r="G131" s="109"/>
      <c r="H131" s="109"/>
    </row>
    <row r="132" spans="1:8" ht="18" customHeight="1" x14ac:dyDescent="0.3">
      <c r="A132" s="11" t="s">
        <v>230</v>
      </c>
      <c r="B132" s="141">
        <f>B9</f>
        <v>230000</v>
      </c>
      <c r="C132" s="33" t="s">
        <v>80</v>
      </c>
      <c r="D132" s="109"/>
      <c r="E132" s="109"/>
      <c r="F132" s="109"/>
      <c r="G132" s="109"/>
      <c r="H132" s="109"/>
    </row>
    <row r="133" spans="1:8" ht="18" customHeight="1" x14ac:dyDescent="0.3">
      <c r="A133" s="11" t="s">
        <v>231</v>
      </c>
      <c r="B133" s="141">
        <f>B10</f>
        <v>20000</v>
      </c>
      <c r="C133" s="33" t="s">
        <v>80</v>
      </c>
      <c r="D133" s="109"/>
      <c r="E133" s="109"/>
      <c r="F133" s="109"/>
      <c r="G133" s="109"/>
      <c r="H133" s="109"/>
    </row>
    <row r="134" spans="1:8" ht="18" customHeight="1" x14ac:dyDescent="0.3">
      <c r="A134" s="11" t="s">
        <v>232</v>
      </c>
      <c r="B134" s="141">
        <f>B7</f>
        <v>560</v>
      </c>
      <c r="C134" s="33" t="s">
        <v>41</v>
      </c>
      <c r="D134" s="109"/>
      <c r="E134" s="109"/>
      <c r="F134" s="109"/>
      <c r="G134" s="109"/>
      <c r="H134" s="109"/>
    </row>
    <row r="135" spans="1:8" ht="18" customHeight="1" x14ac:dyDescent="0.3">
      <c r="A135" s="11" t="s">
        <v>122</v>
      </c>
      <c r="B135" s="141">
        <f>B6</f>
        <v>1750</v>
      </c>
      <c r="C135" s="33" t="s">
        <v>39</v>
      </c>
      <c r="D135" s="109"/>
      <c r="E135" s="109"/>
      <c r="F135" s="109"/>
      <c r="G135" s="109"/>
      <c r="H135" s="109"/>
    </row>
    <row r="136" spans="1:8" ht="9.75" customHeight="1" x14ac:dyDescent="0.3"/>
    <row r="137" spans="1:8" ht="21.75" customHeight="1" x14ac:dyDescent="0.3">
      <c r="A137" s="221" t="s">
        <v>233</v>
      </c>
      <c r="B137" s="221"/>
      <c r="C137" s="221"/>
      <c r="D137" s="221"/>
      <c r="E137" s="221"/>
      <c r="F137" s="221"/>
      <c r="G137" s="221"/>
      <c r="H137" s="221"/>
    </row>
    <row r="138" spans="1:8" ht="21.75" customHeight="1" x14ac:dyDescent="0.3">
      <c r="A138" s="1" t="s">
        <v>234</v>
      </c>
      <c r="B138" s="91" t="s">
        <v>158</v>
      </c>
      <c r="C138" s="91" t="s">
        <v>159</v>
      </c>
      <c r="D138" s="91" t="s">
        <v>160</v>
      </c>
      <c r="E138" s="91" t="s">
        <v>161</v>
      </c>
      <c r="F138" s="91" t="s">
        <v>162</v>
      </c>
      <c r="G138" s="91" t="s">
        <v>163</v>
      </c>
      <c r="H138" s="142" t="s">
        <v>164</v>
      </c>
    </row>
    <row r="139" spans="1:8" ht="19.5" customHeight="1" x14ac:dyDescent="0.3">
      <c r="A139" s="11" t="s">
        <v>235</v>
      </c>
      <c r="B139" s="143">
        <f>B13</f>
        <v>150000</v>
      </c>
      <c r="C139" s="144">
        <f>IFERROR(B139*(1+B120),"")</f>
        <v>165000</v>
      </c>
      <c r="D139" s="144">
        <f>IFERROR(C139*(1+B120),"")</f>
        <v>181500.00000000003</v>
      </c>
      <c r="E139" s="144">
        <f>IFERROR(D139*(1+B120),"")</f>
        <v>199650.00000000006</v>
      </c>
      <c r="F139" s="144">
        <f>IFERROR(E139*(1+B121),"")</f>
        <v>213625.50000000009</v>
      </c>
      <c r="G139" s="144">
        <f>IFERROR(F139*(1+B121),"")</f>
        <v>228579.28500000012</v>
      </c>
      <c r="H139" s="145"/>
    </row>
    <row r="140" spans="1:8" ht="19.5" customHeight="1" x14ac:dyDescent="0.3">
      <c r="A140" s="11" t="s">
        <v>236</v>
      </c>
      <c r="B140" s="143">
        <f>B14</f>
        <v>75000</v>
      </c>
      <c r="C140" s="144">
        <f>IFERROR(C139*B123,"")</f>
        <v>82500</v>
      </c>
      <c r="D140" s="144">
        <f>IFERROR(D139*B123,"")</f>
        <v>90750.000000000015</v>
      </c>
      <c r="E140" s="144">
        <f>IFERROR(E139*B123,"")</f>
        <v>99825.000000000029</v>
      </c>
      <c r="F140" s="144">
        <f>IFERROR(F139*B123,"")</f>
        <v>106812.75000000004</v>
      </c>
      <c r="G140" s="144">
        <f>IFERROR(G139*B123,"")</f>
        <v>114289.64250000006</v>
      </c>
      <c r="H140" s="145"/>
    </row>
    <row r="141" spans="1:8" ht="18" customHeight="1" x14ac:dyDescent="0.3">
      <c r="A141" s="33" t="s">
        <v>237</v>
      </c>
      <c r="B141" s="146">
        <f t="shared" ref="B141:G141" si="0">IFERROR(B140/B139,"")</f>
        <v>0.5</v>
      </c>
      <c r="C141" s="146">
        <f t="shared" si="0"/>
        <v>0.5</v>
      </c>
      <c r="D141" s="146">
        <f t="shared" si="0"/>
        <v>0.5</v>
      </c>
      <c r="E141" s="146">
        <f t="shared" si="0"/>
        <v>0.5</v>
      </c>
      <c r="F141" s="146">
        <f t="shared" si="0"/>
        <v>0.5</v>
      </c>
      <c r="G141" s="146">
        <f t="shared" si="0"/>
        <v>0.5</v>
      </c>
      <c r="H141" s="146"/>
    </row>
    <row r="142" spans="1:8" ht="19.5" customHeight="1" x14ac:dyDescent="0.3">
      <c r="A142" s="11" t="s">
        <v>238</v>
      </c>
      <c r="B142" s="144">
        <f>IFERROR(B139*B125,"")</f>
        <v>30000</v>
      </c>
      <c r="C142" s="144">
        <f>IFERROR(C139*B125,"")</f>
        <v>33000</v>
      </c>
      <c r="D142" s="144">
        <f>IFERROR(D139*B125,"")</f>
        <v>36300.000000000007</v>
      </c>
      <c r="E142" s="144">
        <f>IFERROR(E139*B125,"")</f>
        <v>39930.000000000015</v>
      </c>
      <c r="F142" s="144">
        <f>IFERROR(F139*B125,"")</f>
        <v>42725.10000000002</v>
      </c>
      <c r="G142" s="144">
        <f>IFERROR(G139*B125,"")</f>
        <v>45715.857000000025</v>
      </c>
      <c r="H142" s="145"/>
    </row>
    <row r="143" spans="1:8" ht="19.5" customHeight="1" x14ac:dyDescent="0.3">
      <c r="A143" s="16" t="s">
        <v>239</v>
      </c>
      <c r="B143" s="30">
        <f t="shared" ref="B143:G143" si="1">IFERROR(B140-B142,"")</f>
        <v>45000</v>
      </c>
      <c r="C143" s="30">
        <f t="shared" si="1"/>
        <v>49500</v>
      </c>
      <c r="D143" s="30">
        <f t="shared" si="1"/>
        <v>54450.000000000007</v>
      </c>
      <c r="E143" s="30">
        <f t="shared" si="1"/>
        <v>59895.000000000015</v>
      </c>
      <c r="F143" s="30">
        <f t="shared" si="1"/>
        <v>64087.650000000023</v>
      </c>
      <c r="G143" s="30">
        <f t="shared" si="1"/>
        <v>68573.785500000027</v>
      </c>
      <c r="H143" s="145"/>
    </row>
    <row r="144" spans="1:8" ht="19.5" customHeight="1" x14ac:dyDescent="0.3">
      <c r="A144" s="16" t="s">
        <v>240</v>
      </c>
      <c r="B144" s="30">
        <f>IFERROR(B143*B124,"")</f>
        <v>11250</v>
      </c>
      <c r="C144" s="30">
        <f>IFERROR(C143*B124,"")</f>
        <v>12375</v>
      </c>
      <c r="D144" s="30">
        <f>IFERROR(D143*B124,"")</f>
        <v>13612.500000000002</v>
      </c>
      <c r="E144" s="30">
        <f>IFERROR(E143*B124,"")</f>
        <v>14973.750000000004</v>
      </c>
      <c r="F144" s="30">
        <f>IFERROR(F143*B124,"")</f>
        <v>16021.912500000006</v>
      </c>
      <c r="G144" s="30">
        <f>IFERROR(G143*B124,"")</f>
        <v>17143.446375000007</v>
      </c>
      <c r="H144" s="145"/>
    </row>
    <row r="145" spans="1:8" ht="19.5" customHeight="1" x14ac:dyDescent="0.3">
      <c r="A145" s="34" t="s">
        <v>241</v>
      </c>
      <c r="B145" s="147">
        <f t="shared" ref="B145:G145" si="2">IFERROR(B143-B144,"")</f>
        <v>33750</v>
      </c>
      <c r="C145" s="147">
        <f t="shared" si="2"/>
        <v>37125</v>
      </c>
      <c r="D145" s="147">
        <f t="shared" si="2"/>
        <v>40837.500000000007</v>
      </c>
      <c r="E145" s="147">
        <f t="shared" si="2"/>
        <v>44921.250000000015</v>
      </c>
      <c r="F145" s="147">
        <f t="shared" si="2"/>
        <v>48065.737500000017</v>
      </c>
      <c r="G145" s="147">
        <f t="shared" si="2"/>
        <v>51430.33912500002</v>
      </c>
      <c r="H145" s="93"/>
    </row>
    <row r="146" spans="1:8" ht="19.5" customHeight="1" x14ac:dyDescent="0.3">
      <c r="A146" s="148" t="s">
        <v>242</v>
      </c>
      <c r="B146" s="145">
        <f>IFERROR(-B139*B126,"")</f>
        <v>-27000</v>
      </c>
      <c r="C146" s="145">
        <f>IFERROR(-C139*B126,"")</f>
        <v>-29700</v>
      </c>
      <c r="D146" s="145">
        <f>IFERROR(-D139*B126,"")</f>
        <v>-32670.000000000004</v>
      </c>
      <c r="E146" s="145">
        <f>IFERROR(-E139*B126,"")</f>
        <v>-35937.000000000007</v>
      </c>
      <c r="F146" s="145">
        <f>IFERROR(-F139*B126,"")</f>
        <v>-38452.590000000011</v>
      </c>
      <c r="G146" s="145">
        <f>IFERROR(-G139*B126,"")</f>
        <v>-41144.271300000022</v>
      </c>
      <c r="H146" s="145"/>
    </row>
    <row r="147" spans="1:8" ht="19.5" customHeight="1" x14ac:dyDescent="0.3">
      <c r="A147" s="148" t="s">
        <v>243</v>
      </c>
      <c r="B147" s="145">
        <f>IFERROR(-B139*B127,"")</f>
        <v>-1500</v>
      </c>
      <c r="C147" s="145">
        <f>IFERROR(-C139*B127,"")</f>
        <v>-1650</v>
      </c>
      <c r="D147" s="145">
        <f>IFERROR(-D139*B127,"")</f>
        <v>-1815.0000000000002</v>
      </c>
      <c r="E147" s="145">
        <f>IFERROR(-E139*B127,"")</f>
        <v>-1996.5000000000007</v>
      </c>
      <c r="F147" s="145">
        <f>IFERROR(-F139*B127,"")</f>
        <v>-2136.255000000001</v>
      </c>
      <c r="G147" s="145">
        <f>IFERROR(-G139*B127,"")</f>
        <v>-2285.7928500000012</v>
      </c>
      <c r="H147" s="145"/>
    </row>
    <row r="148" spans="1:8" ht="19.5" customHeight="1" x14ac:dyDescent="0.3">
      <c r="A148" s="148" t="s">
        <v>244</v>
      </c>
      <c r="B148" s="145">
        <f t="shared" ref="B148:G148" si="3">IFERROR(B142,"")</f>
        <v>30000</v>
      </c>
      <c r="C148" s="145">
        <f t="shared" si="3"/>
        <v>33000</v>
      </c>
      <c r="D148" s="145">
        <f t="shared" si="3"/>
        <v>36300.000000000007</v>
      </c>
      <c r="E148" s="145">
        <f t="shared" si="3"/>
        <v>39930.000000000015</v>
      </c>
      <c r="F148" s="145">
        <f t="shared" si="3"/>
        <v>42725.10000000002</v>
      </c>
      <c r="G148" s="145">
        <f t="shared" si="3"/>
        <v>45715.857000000025</v>
      </c>
      <c r="H148" s="145"/>
    </row>
    <row r="149" spans="1:8" ht="24" customHeight="1" x14ac:dyDescent="0.3">
      <c r="A149" s="23" t="s">
        <v>245</v>
      </c>
      <c r="B149" s="149"/>
      <c r="C149" s="95">
        <f t="shared" ref="C149:G149" si="4">IFERROR(C145+C148+C146+C147,"")</f>
        <v>38775</v>
      </c>
      <c r="D149" s="95">
        <f t="shared" si="4"/>
        <v>42652.500000000015</v>
      </c>
      <c r="E149" s="95">
        <f t="shared" si="4"/>
        <v>46917.750000000022</v>
      </c>
      <c r="F149" s="95">
        <f t="shared" si="4"/>
        <v>50201.992500000022</v>
      </c>
      <c r="G149" s="95">
        <f t="shared" si="4"/>
        <v>53716.131975000026</v>
      </c>
      <c r="H149" s="93"/>
    </row>
    <row r="150" spans="1:8" ht="4.5" customHeight="1" x14ac:dyDescent="0.3"/>
    <row r="151" spans="1:8" ht="19.5" customHeight="1" x14ac:dyDescent="0.3">
      <c r="A151" s="150" t="s">
        <v>246</v>
      </c>
      <c r="B151" s="151"/>
      <c r="C151" s="151"/>
      <c r="D151" s="151"/>
      <c r="E151" s="151"/>
      <c r="F151" s="151"/>
      <c r="G151" s="151"/>
      <c r="H151" s="152">
        <f>IFERROR(G149*(1+B122)/(B119-B122),"")</f>
        <v>931079.62090000045</v>
      </c>
    </row>
    <row r="152" spans="1:8" ht="18" customHeight="1" x14ac:dyDescent="0.3">
      <c r="A152" s="36" t="s">
        <v>247</v>
      </c>
      <c r="B152" s="153" t="s">
        <v>248</v>
      </c>
      <c r="C152" s="154">
        <f>IFERROR(1/(1+B119)^1,"")</f>
        <v>0.90909090909090906</v>
      </c>
      <c r="D152" s="154">
        <f>IFERROR(1/(1+B119)^2,"")</f>
        <v>0.82644628099173545</v>
      </c>
      <c r="E152" s="154">
        <f>IFERROR(1/(1+B119)^3,"")</f>
        <v>0.75131480090157754</v>
      </c>
      <c r="F152" s="154">
        <f>IFERROR(1/(1+B119)^4,"")</f>
        <v>0.68301345536507052</v>
      </c>
      <c r="G152" s="154">
        <f>IFERROR(1/(1+B119)^5,"")</f>
        <v>0.62092132305915493</v>
      </c>
      <c r="H152" s="155">
        <f>IFERROR(1/(1+B119)^5,"")</f>
        <v>0.62092132305915493</v>
      </c>
    </row>
    <row r="153" spans="1:8" ht="19.5" customHeight="1" x14ac:dyDescent="0.3">
      <c r="A153" s="23" t="s">
        <v>249</v>
      </c>
      <c r="B153" s="156" t="s">
        <v>248</v>
      </c>
      <c r="C153" s="95">
        <f>IFERROR(C149*C152,"")</f>
        <v>35250</v>
      </c>
      <c r="D153" s="95">
        <f>IFERROR(D149*D152,"")</f>
        <v>35250.000000000007</v>
      </c>
      <c r="E153" s="95">
        <f>IFERROR(E149*E152,"")</f>
        <v>35250.000000000007</v>
      </c>
      <c r="F153" s="95">
        <f>IFERROR(F149*F152,"")</f>
        <v>34288.636363636368</v>
      </c>
      <c r="G153" s="95">
        <f>IFERROR(G149*G152,"")</f>
        <v>33353.491735537194</v>
      </c>
      <c r="H153" s="93">
        <f>IFERROR(H151*H152,"")</f>
        <v>578127.19008264469</v>
      </c>
    </row>
    <row r="154" spans="1:8" ht="4.5" customHeight="1" x14ac:dyDescent="0.3"/>
    <row r="155" spans="1:8" ht="25.5" customHeight="1" x14ac:dyDescent="0.3">
      <c r="A155" s="157" t="s">
        <v>250</v>
      </c>
      <c r="B155" s="158">
        <f>IFERROR(C153+D153+E153+F153+G153+H153,"")</f>
        <v>751519.31818181823</v>
      </c>
      <c r="C155" s="159" t="s">
        <v>80</v>
      </c>
      <c r="D155" s="160"/>
      <c r="E155" s="160"/>
      <c r="F155" s="160"/>
      <c r="G155" s="160"/>
      <c r="H155" s="160"/>
    </row>
    <row r="156" spans="1:8" ht="19.5" customHeight="1" x14ac:dyDescent="0.3">
      <c r="A156" s="161" t="s">
        <v>251</v>
      </c>
      <c r="B156" s="162">
        <f>IFERROR(B155-B9+B10,"")</f>
        <v>541519.31818181823</v>
      </c>
      <c r="C156" s="163" t="s">
        <v>80</v>
      </c>
      <c r="D156" s="149"/>
      <c r="E156" s="149"/>
      <c r="F156" s="149"/>
      <c r="G156" s="149"/>
      <c r="H156" s="149"/>
    </row>
    <row r="157" spans="1:8" ht="30" customHeight="1" x14ac:dyDescent="0.3">
      <c r="A157" s="164" t="s">
        <v>252</v>
      </c>
      <c r="B157" s="165">
        <f>IFERROR(B156/B7,"")</f>
        <v>966.99878246753258</v>
      </c>
      <c r="C157" s="166" t="s">
        <v>39</v>
      </c>
      <c r="D157" s="167"/>
      <c r="E157" s="167"/>
      <c r="F157" s="167"/>
      <c r="G157" s="167"/>
      <c r="H157" s="167"/>
    </row>
    <row r="158" spans="1:8" ht="19.5" customHeight="1" x14ac:dyDescent="0.3">
      <c r="A158" s="19" t="s">
        <v>253</v>
      </c>
      <c r="B158" s="168">
        <f>IFERROR((B157-B6)/B6,"")</f>
        <v>-0.44742926716140996</v>
      </c>
      <c r="C158" s="169" t="s">
        <v>47</v>
      </c>
      <c r="D158" s="170"/>
      <c r="E158" s="170"/>
      <c r="F158" s="170"/>
      <c r="G158" s="170"/>
      <c r="H158" s="170"/>
    </row>
    <row r="159" spans="1:8" ht="9.75" customHeight="1" x14ac:dyDescent="0.3"/>
    <row r="160" spans="1:8" ht="21.75" customHeight="1" x14ac:dyDescent="0.3">
      <c r="A160" s="220" t="s">
        <v>254</v>
      </c>
      <c r="B160" s="220"/>
      <c r="C160" s="220"/>
      <c r="D160" s="220"/>
      <c r="E160" s="220"/>
      <c r="F160" s="220"/>
      <c r="G160" s="220"/>
      <c r="H160" s="220"/>
    </row>
    <row r="161" spans="1:8" ht="19.5" customHeight="1" x14ac:dyDescent="0.3">
      <c r="A161" s="171" t="s">
        <v>255</v>
      </c>
      <c r="B161" s="218" t="s">
        <v>256</v>
      </c>
      <c r="C161" s="218"/>
      <c r="D161" s="218"/>
      <c r="E161" s="218"/>
      <c r="F161" s="218"/>
      <c r="G161" s="218"/>
      <c r="H161" s="218"/>
    </row>
    <row r="162" spans="1:8" ht="19.5" customHeight="1" x14ac:dyDescent="0.3">
      <c r="A162" s="171" t="s">
        <v>257</v>
      </c>
      <c r="B162" s="218" t="s">
        <v>258</v>
      </c>
      <c r="C162" s="218"/>
      <c r="D162" s="218"/>
      <c r="E162" s="218"/>
      <c r="F162" s="218"/>
      <c r="G162" s="218"/>
      <c r="H162" s="218"/>
    </row>
    <row r="163" spans="1:8" ht="19.5" customHeight="1" x14ac:dyDescent="0.3">
      <c r="A163" s="171" t="s">
        <v>259</v>
      </c>
      <c r="B163" s="218" t="s">
        <v>260</v>
      </c>
      <c r="C163" s="218"/>
      <c r="D163" s="218"/>
      <c r="E163" s="218"/>
      <c r="F163" s="218"/>
      <c r="G163" s="218"/>
      <c r="H163" s="218"/>
    </row>
    <row r="164" spans="1:8" ht="19.5" customHeight="1" x14ac:dyDescent="0.3">
      <c r="A164" s="171" t="s">
        <v>261</v>
      </c>
      <c r="B164" s="218" t="s">
        <v>262</v>
      </c>
      <c r="C164" s="218"/>
      <c r="D164" s="218"/>
      <c r="E164" s="218"/>
      <c r="F164" s="218"/>
      <c r="G164" s="218"/>
      <c r="H164" s="218"/>
    </row>
    <row r="165" spans="1:8" ht="19.5" customHeight="1" x14ac:dyDescent="0.3">
      <c r="A165" s="171" t="s">
        <v>263</v>
      </c>
      <c r="B165" s="218" t="s">
        <v>264</v>
      </c>
      <c r="C165" s="218"/>
      <c r="D165" s="218"/>
      <c r="E165" s="218"/>
      <c r="F165" s="218"/>
      <c r="G165" s="218"/>
      <c r="H165" s="218"/>
    </row>
    <row r="166" spans="1:8" ht="19.5" customHeight="1" x14ac:dyDescent="0.3">
      <c r="A166" s="171" t="s">
        <v>265</v>
      </c>
      <c r="B166" s="218" t="s">
        <v>346</v>
      </c>
      <c r="C166" s="218"/>
      <c r="D166" s="218"/>
      <c r="E166" s="218"/>
      <c r="F166" s="218"/>
      <c r="G166" s="218"/>
      <c r="H166" s="218"/>
    </row>
    <row r="167" spans="1:8" ht="7.5" customHeight="1" x14ac:dyDescent="0.3"/>
    <row r="168" spans="1:8" ht="36" customHeight="1" x14ac:dyDescent="0.3">
      <c r="A168" s="219" t="s">
        <v>267</v>
      </c>
      <c r="B168" s="219"/>
      <c r="C168" s="219"/>
      <c r="D168" s="219"/>
      <c r="E168" s="219"/>
      <c r="F168" s="219"/>
      <c r="G168" s="219"/>
      <c r="H168" s="219"/>
    </row>
  </sheetData>
  <mergeCells count="38">
    <mergeCell ref="A1:C1"/>
    <mergeCell ref="A2:C2"/>
    <mergeCell ref="A4:C4"/>
    <mergeCell ref="A12:C12"/>
    <mergeCell ref="A19:C19"/>
    <mergeCell ref="A24:C24"/>
    <mergeCell ref="A28:C28"/>
    <mergeCell ref="A33:C33"/>
    <mergeCell ref="A37:C37"/>
    <mergeCell ref="A46:C46"/>
    <mergeCell ref="A54:C54"/>
    <mergeCell ref="A55:C55"/>
    <mergeCell ref="A57:C57"/>
    <mergeCell ref="A62:C62"/>
    <mergeCell ref="A68:C68"/>
    <mergeCell ref="A73:C73"/>
    <mergeCell ref="A77:C77"/>
    <mergeCell ref="A80:C80"/>
    <mergeCell ref="A81:C81"/>
    <mergeCell ref="A83:C83"/>
    <mergeCell ref="A87:C87"/>
    <mergeCell ref="A99:C99"/>
    <mergeCell ref="A103:C103"/>
    <mergeCell ref="A112:C112"/>
    <mergeCell ref="A115:H115"/>
    <mergeCell ref="B166:H166"/>
    <mergeCell ref="A168:H168"/>
    <mergeCell ref="A97:C97"/>
    <mergeCell ref="B161:H161"/>
    <mergeCell ref="B162:H162"/>
    <mergeCell ref="B163:H163"/>
    <mergeCell ref="B164:H164"/>
    <mergeCell ref="B165:H165"/>
    <mergeCell ref="A116:H116"/>
    <mergeCell ref="A118:H118"/>
    <mergeCell ref="A129:H129"/>
    <mergeCell ref="A137:H137"/>
    <mergeCell ref="A160:H160"/>
  </mergeCells>
  <conditionalFormatting sqref="B60">
    <cfRule type="expression" dxfId="47" priority="2">
      <formula>B44&gt;0.2</formula>
    </cfRule>
    <cfRule type="expression" dxfId="46" priority="3">
      <formula>AND(B44&gt;0.1,B44&lt;=0.2)</formula>
    </cfRule>
    <cfRule type="expression" dxfId="45" priority="4">
      <formula>AND(B44&gt;=-0.1,B44&lt;=0.1)</formula>
    </cfRule>
    <cfRule type="expression" dxfId="44" priority="5">
      <formula>AND(B44&gt;=-0.2,B44&lt;-0.1)</formula>
    </cfRule>
    <cfRule type="expression" dxfId="43" priority="6">
      <formula>B44&lt;-0.2</formula>
    </cfRule>
  </conditionalFormatting>
  <conditionalFormatting sqref="B63">
    <cfRule type="expression" dxfId="42" priority="7">
      <formula>B26&gt;0.2</formula>
    </cfRule>
    <cfRule type="expression" dxfId="41" priority="8">
      <formula>AND(B26&gt;0.1,B26&lt;=0.2)</formula>
    </cfRule>
    <cfRule type="expression" dxfId="40" priority="9">
      <formula>AND(B26&gt;=-0.1,B26&lt;=0.1)</formula>
    </cfRule>
    <cfRule type="expression" dxfId="39" priority="10">
      <formula>AND(B26&gt;=-0.2,B26&lt;-0.1)</formula>
    </cfRule>
    <cfRule type="expression" dxfId="38" priority="11">
      <formula>B26&lt;-0.2</formula>
    </cfRule>
  </conditionalFormatting>
  <conditionalFormatting sqref="B64:B65">
    <cfRule type="expression" dxfId="37" priority="12">
      <formula>B31&gt;0.2</formula>
    </cfRule>
    <cfRule type="expression" dxfId="36" priority="13">
      <formula>AND(B31&gt;0.1,B31&lt;=0.2)</formula>
    </cfRule>
    <cfRule type="expression" dxfId="35" priority="14">
      <formula>AND(B31&gt;=-0.1,B31&lt;=0.1)</formula>
    </cfRule>
    <cfRule type="expression" dxfId="34" priority="15">
      <formula>AND(B31&gt;=-0.2,B31&lt;-0.1)</formula>
    </cfRule>
    <cfRule type="expression" dxfId="33" priority="16">
      <formula>B31&lt;-0.2</formula>
    </cfRule>
  </conditionalFormatting>
  <conditionalFormatting sqref="B66">
    <cfRule type="expression" dxfId="32" priority="17">
      <formula>B35&gt;0.2</formula>
    </cfRule>
    <cfRule type="expression" dxfId="31" priority="18">
      <formula>AND(B35&gt;0.1,B35&lt;=0.2)</formula>
    </cfRule>
    <cfRule type="expression" dxfId="30" priority="19">
      <formula>AND(B35&gt;=-0.1,B35&lt;=0.1)</formula>
    </cfRule>
    <cfRule type="expression" dxfId="29" priority="20">
      <formula>AND(B35&gt;=-0.2,B35&lt;-0.1)</formula>
    </cfRule>
    <cfRule type="expression" dxfId="28" priority="21">
      <formula>B35&lt;-0.2</formula>
    </cfRule>
  </conditionalFormatting>
  <conditionalFormatting sqref="B74">
    <cfRule type="expression" dxfId="27" priority="22">
      <formula>B44&gt;0.2</formula>
    </cfRule>
    <cfRule type="expression" dxfId="26" priority="23">
      <formula>AND(B44&gt;0.1,B44&lt;=0.2)</formula>
    </cfRule>
    <cfRule type="expression" dxfId="25" priority="24">
      <formula>AND(B44&gt;=-0.1,B44&lt;=0.1)</formula>
    </cfRule>
    <cfRule type="expression" dxfId="24" priority="25">
      <formula>AND(B44&gt;=-0.2,B44&lt;-0.1)</formula>
    </cfRule>
    <cfRule type="expression" dxfId="23" priority="26">
      <formula>B44&lt;-0.2</formula>
    </cfRule>
  </conditionalFormatting>
  <conditionalFormatting sqref="B75">
    <cfRule type="expression" dxfId="22" priority="27">
      <formula>B44&gt;0.2</formula>
    </cfRule>
    <cfRule type="expression" dxfId="21" priority="28">
      <formula>AND(B44&gt;0.1,B44&lt;=0.2)</formula>
    </cfRule>
    <cfRule type="expression" dxfId="20" priority="29">
      <formula>AND(B44&gt;=-0.1,B44&lt;=0.1)</formula>
    </cfRule>
    <cfRule type="expression" dxfId="19" priority="30">
      <formula>AND(B44&gt;=-0.2,B44&lt;-0.1)</formula>
    </cfRule>
    <cfRule type="expression" dxfId="18" priority="31">
      <formula>B44&lt;-0.2</formula>
    </cfRule>
  </conditionalFormatting>
  <conditionalFormatting sqref="B101">
    <cfRule type="expression" dxfId="17" priority="126">
      <formula>AND(B6&gt;B43*(1-B84*1.5),B6&lt;=B43*(1-B84))</formula>
    </cfRule>
    <cfRule type="expression" dxfId="16" priority="125">
      <formula>B6&lt;=B43*(1-B84*1.5)</formula>
    </cfRule>
    <cfRule type="expression" dxfId="15" priority="127">
      <formula>AND(B6&gt;B43*(1-B84),B6&lt;=B43*(1-B84*0.5))</formula>
    </cfRule>
    <cfRule type="expression" dxfId="14" priority="128">
      <formula>AND(B6&gt;B43*(1-B84*0.5),B6&lt;=B43)</formula>
    </cfRule>
    <cfRule type="expression" dxfId="13" priority="129">
      <formula>AND(B6&gt;B43,B6&lt;=B43*1.15)</formula>
    </cfRule>
    <cfRule type="expression" dxfId="12" priority="130">
      <formula>B6&gt;B43*1.15</formula>
    </cfRule>
  </conditionalFormatting>
  <conditionalFormatting sqref="C89">
    <cfRule type="expression" dxfId="11" priority="132">
      <formula>B6&gt;=B89</formula>
    </cfRule>
    <cfRule type="expression" dxfId="10" priority="131">
      <formula>B6&lt;B89</formula>
    </cfRule>
  </conditionalFormatting>
  <conditionalFormatting sqref="C90">
    <cfRule type="expression" dxfId="9" priority="32">
      <formula>B6&lt;B90</formula>
    </cfRule>
    <cfRule type="expression" dxfId="8" priority="33">
      <formula>B6&gt;=B90</formula>
    </cfRule>
  </conditionalFormatting>
  <conditionalFormatting sqref="C91">
    <cfRule type="expression" dxfId="7" priority="34">
      <formula>B6&lt;B91</formula>
    </cfRule>
    <cfRule type="expression" dxfId="6" priority="35">
      <formula>B6&gt;=B91</formula>
    </cfRule>
  </conditionalFormatting>
  <conditionalFormatting sqref="C92">
    <cfRule type="expression" dxfId="5" priority="36">
      <formula>B6&lt;B92</formula>
    </cfRule>
    <cfRule type="expression" dxfId="4" priority="37">
      <formula>B6&gt;=B92</formula>
    </cfRule>
  </conditionalFormatting>
  <conditionalFormatting sqref="C93">
    <cfRule type="expression" dxfId="3" priority="38">
      <formula>B6&lt;B93</formula>
    </cfRule>
    <cfRule type="expression" dxfId="2" priority="39">
      <formula>B6&gt;=B93</formula>
    </cfRule>
  </conditionalFormatting>
  <conditionalFormatting sqref="C94">
    <cfRule type="expression" dxfId="1" priority="40">
      <formula>B6&lt;B94</formula>
    </cfRule>
    <cfRule type="expression" dxfId="0" priority="41">
      <formula>B6&gt;=B94</formula>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Dashboard</vt:lpstr>
      <vt:lpstr>Banking &amp; NBFC</vt:lpstr>
      <vt:lpstr>IT &amp; Technology</vt:lpstr>
      <vt:lpstr>Pharmaceuticals</vt:lpstr>
      <vt:lpstr>Automobiles</vt:lpstr>
      <vt:lpstr>FMCG &amp; Consumer</vt:lpstr>
      <vt:lpstr>Energy &amp; Oil</vt:lpstr>
      <vt:lpstr>Infrastructure</vt:lpstr>
      <vt:lpstr>Metals &amp; Mining</vt:lpstr>
      <vt:lpstr>Telecom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amogha h d</cp:lastModifiedBy>
  <cp:revision>0</cp:revision>
  <dcterms:created xsi:type="dcterms:W3CDTF">2026-03-26T04:32:15Z</dcterms:created>
  <dcterms:modified xsi:type="dcterms:W3CDTF">2026-04-13T14:11:25Z</dcterms:modified>
  <dc:language>en-US</dc:language>
</cp:coreProperties>
</file>