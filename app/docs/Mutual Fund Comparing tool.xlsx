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783612bd878d137/Desktop/"/>
    </mc:Choice>
  </mc:AlternateContent>
  <xr:revisionPtr revIDLastSave="36" documentId="8_{2348C4F3-09F6-4A9F-9853-DE456C80DD2A}" xr6:coauthVersionLast="47" xr6:coauthVersionMax="47" xr10:uidLastSave="{0595A65D-D133-476F-A48B-8331E264D804}"/>
  <bookViews>
    <workbookView xWindow="-108" yWindow="-108" windowWidth="23256" windowHeight="12456" xr2:uid="{00000000-000D-0000-FFFF-FFFF00000000}"/>
  </bookViews>
  <sheets>
    <sheet name="Instructions and Methodology" sheetId="3" r:id="rId1"/>
    <sheet name="Tool" sheetId="1" r:id="rId2"/>
  </sheets>
  <calcPr calcId="191029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2" i="1"/>
  <c r="L2" i="1"/>
  <c r="S2" i="1" s="1"/>
  <c r="R8" i="1"/>
  <c r="P8" i="1"/>
  <c r="M8" i="1"/>
  <c r="L8" i="1"/>
  <c r="S8" i="1" s="1"/>
  <c r="K8" i="1"/>
  <c r="J8" i="1"/>
  <c r="I8" i="1"/>
  <c r="R7" i="1"/>
  <c r="P7" i="1"/>
  <c r="M7" i="1"/>
  <c r="L7" i="1"/>
  <c r="S7" i="1" s="1"/>
  <c r="K7" i="1"/>
  <c r="J7" i="1"/>
  <c r="I7" i="1"/>
  <c r="R6" i="1"/>
  <c r="P6" i="1"/>
  <c r="M6" i="1"/>
  <c r="L6" i="1"/>
  <c r="S6" i="1" s="1"/>
  <c r="K6" i="1"/>
  <c r="J6" i="1"/>
  <c r="I6" i="1"/>
  <c r="R5" i="1"/>
  <c r="P5" i="1"/>
  <c r="M5" i="1"/>
  <c r="L5" i="1"/>
  <c r="K5" i="1"/>
  <c r="J5" i="1"/>
  <c r="I5" i="1"/>
  <c r="R4" i="1"/>
  <c r="P4" i="1"/>
  <c r="M4" i="1"/>
  <c r="L4" i="1"/>
  <c r="S4" i="1" s="1"/>
  <c r="K4" i="1"/>
  <c r="J4" i="1"/>
  <c r="I4" i="1"/>
  <c r="R3" i="1"/>
  <c r="P3" i="1"/>
  <c r="M3" i="1"/>
  <c r="L3" i="1"/>
  <c r="S3" i="1" s="1"/>
  <c r="K3" i="1"/>
  <c r="J3" i="1"/>
  <c r="I3" i="1"/>
  <c r="R2" i="1"/>
  <c r="P2" i="1"/>
  <c r="M2" i="1"/>
  <c r="K2" i="1"/>
  <c r="J2" i="1"/>
  <c r="I2" i="1"/>
  <c r="S5" i="1" l="1"/>
  <c r="Q2" i="1"/>
  <c r="O4" i="1"/>
  <c r="N3" i="1"/>
  <c r="U3" i="1" s="1"/>
  <c r="Q5" i="1"/>
  <c r="N6" i="1"/>
  <c r="U6" i="1" s="1"/>
  <c r="O7" i="1"/>
  <c r="T7" i="1" s="1"/>
  <c r="N4" i="1"/>
  <c r="U4" i="1" s="1"/>
  <c r="O5" i="1"/>
  <c r="Q6" i="1"/>
  <c r="T6" i="1" s="1"/>
  <c r="N8" i="1"/>
  <c r="U8" i="1" s="1"/>
  <c r="O2" i="1"/>
  <c r="N7" i="1"/>
  <c r="U7" i="1" s="1"/>
  <c r="O8" i="1"/>
  <c r="N5" i="1"/>
  <c r="U5" i="1" s="1"/>
  <c r="N2" i="1"/>
  <c r="U2" i="1" s="1"/>
  <c r="O3" i="1"/>
  <c r="O6" i="1"/>
  <c r="Q8" i="1"/>
  <c r="T8" i="1" s="1"/>
  <c r="Q4" i="1"/>
  <c r="Q3" i="1"/>
  <c r="T3" i="1" s="1"/>
  <c r="Q7" i="1"/>
  <c r="T4" i="1" l="1"/>
  <c r="T5" i="1"/>
  <c r="T2" i="1"/>
  <c r="W2" i="1" s="1"/>
  <c r="W7" i="1"/>
  <c r="W3" i="1"/>
  <c r="W4" i="1"/>
  <c r="W6" i="1"/>
  <c r="W8" i="1"/>
  <c r="W5" i="1"/>
</calcChain>
</file>

<file path=xl/sharedStrings.xml><?xml version="1.0" encoding="utf-8"?>
<sst xmlns="http://schemas.openxmlformats.org/spreadsheetml/2006/main" count="173" uniqueCount="147">
  <si>
    <t>Fund Name</t>
  </si>
  <si>
    <t>3Y CAGR</t>
  </si>
  <si>
    <t>5Y CAGR</t>
  </si>
  <si>
    <t>Expense</t>
  </si>
  <si>
    <t>Std Dev</t>
  </si>
  <si>
    <t>Sortino</t>
  </si>
  <si>
    <t>Beta</t>
  </si>
  <si>
    <t>Alpha</t>
  </si>
  <si>
    <t>Adj Expense</t>
  </si>
  <si>
    <t>Adj Std Dev</t>
  </si>
  <si>
    <t>Adj Beta</t>
  </si>
  <si>
    <t>Norm 3Y</t>
  </si>
  <si>
    <t>Norm 5Y</t>
  </si>
  <si>
    <t>Norm Expense</t>
  </si>
  <si>
    <t>Norm Std Dev</t>
  </si>
  <si>
    <t>Norm Sortino</t>
  </si>
  <si>
    <t>Norm Beta</t>
  </si>
  <si>
    <t>Norm Alpha</t>
  </si>
  <si>
    <t>Return Score</t>
  </si>
  <si>
    <t>Risk Score</t>
  </si>
  <si>
    <t>Cost Score</t>
  </si>
  <si>
    <t>Final Score</t>
  </si>
  <si>
    <t>Rank</t>
  </si>
  <si>
    <t>BODHA VENTURES  —  Mutual Fund Comparison Tool  |  Scoring Methodology  |  For Educational Use Only</t>
  </si>
  <si>
    <t>⚠  This tool is proprietary to Bodha Ventures for educational use only. Not financial advice. Consult a SEBI-registered advisor before investing.</t>
  </si>
  <si>
    <t xml:space="preserve">  1.  PURPOSE &amp; SCOPE</t>
  </si>
  <si>
    <t>What it does</t>
  </si>
  <si>
    <t>Compares mutual funds within the same SEBI category using a weighted scoring model. Produces a 0–1 composite score and rank.</t>
  </si>
  <si>
    <t>Fund limit</t>
  </si>
  <si>
    <t>3 to 7 funds per run. Scores are relative — adding or removing a fund recalculates everyone's score.</t>
  </si>
  <si>
    <t>Critical rule</t>
  </si>
  <si>
    <t>Same SEBI category only (e.g., all Large Cap). Do not mix categories, index vs. active, or Direct vs. Regular plan.</t>
  </si>
  <si>
    <t xml:space="preserve">  2.  INPUT FORMAT  —  enter in columns A–H of the comparison sheet</t>
  </si>
  <si>
    <t>Column</t>
  </si>
  <si>
    <t>Metric</t>
  </si>
  <si>
    <t>Enter as</t>
  </si>
  <si>
    <t>Direction</t>
  </si>
  <si>
    <t>Example</t>
  </si>
  <si>
    <t>A</t>
  </si>
  <si>
    <t>Text</t>
  </si>
  <si>
    <t>—</t>
  </si>
  <si>
    <t>Mirae Asset Large Cap Dir Gr</t>
  </si>
  <si>
    <t>B</t>
  </si>
  <si>
    <t>% as number</t>
  </si>
  <si>
    <t>Higher = Better</t>
  </si>
  <si>
    <t>14.5</t>
  </si>
  <si>
    <t>C</t>
  </si>
  <si>
    <t>16.2</t>
  </si>
  <si>
    <t>D</t>
  </si>
  <si>
    <t>Expense Ratio</t>
  </si>
  <si>
    <t>Lower = Better</t>
  </si>
  <si>
    <t>0.85</t>
  </si>
  <si>
    <t>E</t>
  </si>
  <si>
    <t>Std Deviation</t>
  </si>
  <si>
    <t>% annualised</t>
  </si>
  <si>
    <t>13.4</t>
  </si>
  <si>
    <t>F</t>
  </si>
  <si>
    <t>Sortino Ratio</t>
  </si>
  <si>
    <t>Raw ratio</t>
  </si>
  <si>
    <t>1.42</t>
  </si>
  <si>
    <t>G</t>
  </si>
  <si>
    <t>0.94</t>
  </si>
  <si>
    <t>H</t>
  </si>
  <si>
    <t>2.3</t>
  </si>
  <si>
    <t xml:space="preserve">  3.  METRIC DEFINITIONS</t>
  </si>
  <si>
    <t>Definition</t>
  </si>
  <si>
    <t>3Y / 5Y CAGR</t>
  </si>
  <si>
    <t>Compound annual return over trailing 3 and 5 years. 5Y covers a fuller market cycle. Enter as plain % (e.g. 14.5, not 0.145).</t>
  </si>
  <si>
    <t>Annual fund cost as % of AUM, deducted daily from NAV. A 0.5% difference compounds to lakhs over 20 years. Lower is structurally better.</t>
  </si>
  <si>
    <t>Annualised volatility of returns. Higher = wider swings in both directions. Use the annualised figure from your data source.</t>
  </si>
  <si>
    <t>Return per unit of downside risk only (unlike Sharpe which uses total volatility). Penalises bad swings, not good ones. Higher = better.</t>
  </si>
  <si>
    <t>Sensitivity to benchmark. 1.0 = moves with index. &gt;1.0 = amplifies moves (aggressive). &lt;1.0 = more defensive.</t>
  </si>
  <si>
    <t>Excess return above what Beta predicts. Positive = manager added value. Negative = underperformed relative to risk taken. Annualised %.</t>
  </si>
  <si>
    <t xml:space="preserve">  4.  NORMALISATION  —  all metrics scaled to 0–1 before scoring</t>
  </si>
  <si>
    <t>Result</t>
  </si>
  <si>
    <t>1.0 = best in set, 0.0 = worst. Scores shift if the fund set changes — a score from one run cannot be compared to another run.</t>
  </si>
  <si>
    <t xml:space="preserve">  5.  SCORING MODEL</t>
  </si>
  <si>
    <t>Return Score  =  ( Norm 3Y  +  Norm 5Y  +  Norm Alpha )  ÷  3</t>
  </si>
  <si>
    <t>Risk Score  =  0.4 × Norm Sortino  +  0.3 × Norm Beta  +  0.3 × Norm Std Dev</t>
  </si>
  <si>
    <t>Cost Score  =  Normalised (Inverted Expense Ratio)</t>
  </si>
  <si>
    <t>Final Score  =  0.6 × Return Score  +  0.2 × Risk Score  +  0.2 × Cost Score</t>
  </si>
  <si>
    <t>Why weighted sum?</t>
  </si>
  <si>
    <t>Funds trade off freely. A fund with high return + low cost but slightly higher risk is not unfairly penalised — the investor can see component scores and decide.</t>
  </si>
  <si>
    <t>Why 60 / 20 / 20?</t>
  </si>
  <si>
    <t>Return is the primary objective. Risk and Cost each get 20% — cost is given equal weight to risk because expense ratio has a direct, guaranteed compounding drag.</t>
  </si>
  <si>
    <t>Sortino weighted 40%</t>
  </si>
  <si>
    <t>Within Risk Score, Sortino gets the highest sub-weight because it penalises only downside volatility — the kind that actually hurts investors.</t>
  </si>
  <si>
    <t xml:space="preserve">  6.  CATEGORY DISCIPLINE  —  most critical constraint</t>
  </si>
  <si>
    <t>Rule</t>
  </si>
  <si>
    <t>Rationale</t>
  </si>
  <si>
    <t>✅  Same SEBI category</t>
  </si>
  <si>
    <t>All funds in one run must be the same SEBI category (e.g., all Large Cap, all Flexi Cap). Risk profiles and mandates differ fundamentally across categories.</t>
  </si>
  <si>
    <t>❌  No cross-category</t>
  </si>
  <si>
    <t>A Large Cap fund will almost always have lower Std Dev than a Small Cap — not because it's better managed, but because of its mandate. Cross-category scores are invalid.</t>
  </si>
  <si>
    <t>❌  No Index + Active mix</t>
  </si>
  <si>
    <t>Index funds have structurally lower costs and near-zero Alpha. Mixing with active funds makes the cost and Alpha scores unfair to both.</t>
  </si>
  <si>
    <t>❌  No Direct + Regular</t>
  </si>
  <si>
    <t>Regular plans carry distributor commission. Mixing plan types makes expense ratios incomparable. Use all Direct or all Regular.</t>
  </si>
  <si>
    <t xml:space="preserve">  7.  HOW TO USE  —  step by step</t>
  </si>
  <si>
    <t>Step</t>
  </si>
  <si>
    <t>Action</t>
  </si>
  <si>
    <t>1</t>
  </si>
  <si>
    <t>Pick a SEBI category and plan type (e.g., Flexi Cap — Direct — Growth). All funds must match.</t>
  </si>
  <si>
    <t>2</t>
  </si>
  <si>
    <t>Select 3–7 funds. Pull data from one source (Value Research, Morningstar, AMC factsheet). Note the as-of date.</t>
  </si>
  <si>
    <t>3</t>
  </si>
  <si>
    <t>Enter Fund Name + 8 metrics (cols A–H) in the Comparison Tool sheet, rows 2–8.</t>
  </si>
  <si>
    <t>4</t>
  </si>
  <si>
    <t>Read Return Score (S), Risk Score (T), Cost Score (U) first — understand the components before the Final Score.</t>
  </si>
  <si>
    <t>5</t>
  </si>
  <si>
    <t>Use Rank (W) as a starting point. Examine trade-offs in component scores before drawing conclusions.</t>
  </si>
  <si>
    <t>6</t>
  </si>
  <si>
    <t>Consult a SEBI-registered investment advisor before making any investment decision.</t>
  </si>
  <si>
    <t xml:space="preserve">  8.  LIMITATIONS</t>
  </si>
  <si>
    <t>Limitation</t>
  </si>
  <si>
    <t>Detail</t>
  </si>
  <si>
    <t>Relative scores only</t>
  </si>
  <si>
    <t>Scores shift when the fund set changes. Cannot compare scores across different runs.</t>
  </si>
  <si>
    <t>Historical data only</t>
  </si>
  <si>
    <t>All metrics are backward-looking. Past performance does not guarantee future returns.</t>
  </si>
  <si>
    <t>No qualitative factors</t>
  </si>
  <si>
    <t>Manager tenure, AMC stability, AUM size, sector concentration not captured.</t>
  </si>
  <si>
    <t>No benchmark comparison</t>
  </si>
  <si>
    <t>#1 ranked fund may still underperform its benchmark index.</t>
  </si>
  <si>
    <t>No tax / exit load</t>
  </si>
  <si>
    <t>STCG/LTCG, exit loads, and lock-in periods are not factored in.</t>
  </si>
  <si>
    <t>Alpha overlaps Risk Score</t>
  </si>
  <si>
    <t>Alpha is in Return Score but is also a risk-adjusted metric — slight double-counting.</t>
  </si>
  <si>
    <t xml:space="preserve">  9.  GLOSSARY</t>
  </si>
  <si>
    <t>Term</t>
  </si>
  <si>
    <t>CAGR</t>
  </si>
  <si>
    <t>Compound Annual Growth Rate — annualised return assuming reinvestment.</t>
  </si>
  <si>
    <t>Standard deviation — measures return volatility. Higher = more volatile.</t>
  </si>
  <si>
    <t>(Return − Risk-Free Rate) ÷ Downside Deviation. Penalises only bad volatility.</t>
  </si>
  <si>
    <t>Sensitivity to benchmark. 1.0 = in line with index.</t>
  </si>
  <si>
    <t>Excess return above Beta-predicted return. Positive = manager added value.</t>
  </si>
  <si>
    <t>Annual fund cost as % of AUM. Deducted daily. Compounds over time.</t>
  </si>
  <si>
    <t>Min-Max Norm.</t>
  </si>
  <si>
    <t>Scaling method: maps all values to 0–1 based on observed min and max.</t>
  </si>
  <si>
    <t>Weighted Sum</t>
  </si>
  <si>
    <t>Composite score: each component × its weight, then summed. Components trade off.</t>
  </si>
  <si>
    <t>SEBI Category</t>
  </si>
  <si>
    <t>Regulatory fund classification by mandate (Large Cap, Flexi Cap, ELSS, etc.).</t>
  </si>
  <si>
    <t>Direct Plan</t>
  </si>
  <si>
    <t>No distributor commission — lower expense ratio than Regular plan, same portfolio.</t>
  </si>
  <si>
    <t>© Bodha Ventures. Proprietary. For educational use only. Not financial advice. Consult a SEBI-registered advisor before investing.</t>
  </si>
  <si>
    <t>Higher-is-better:   Norm = (Value − Min) ÷ (Max − Min)       
Lower-is-better:   First invert  →  Adj = Max − Value,  then normalise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</si>
</sst>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charset val="1"/>
    </font>
    <font>
      <b/>
      <sz val="10"/>
      <color rgb="FFD6E4F0"/>
      <name val="Arial"/>
      <charset val="1"/>
    </font>
    <font>
      <b/>
      <sz val="9"/>
      <color rgb="FF856404"/>
      <name val="Arial"/>
      <charset val="1"/>
    </font>
    <font>
      <b/>
      <sz val="9"/>
      <color rgb="FFFFFFFF"/>
      <name val="Arial"/>
      <charset val="1"/>
    </font>
    <font>
      <sz val="9"/>
      <color rgb="FF1A1A1A"/>
      <name val="Arial"/>
      <charset val="1"/>
    </font>
    <font>
      <b/>
      <sz val="9"/>
      <color rgb="FF1A1A1A"/>
      <name val="Arial"/>
      <charset val="1"/>
    </font>
    <font>
      <b/>
      <sz val="9"/>
      <color rgb="FF1B5E20"/>
      <name val="Arial"/>
      <charset val="1"/>
    </font>
    <font>
      <b/>
      <sz val="9"/>
      <color rgb="FFB71C1C"/>
      <name val="Arial"/>
      <charset val="1"/>
    </font>
    <font>
      <b/>
      <sz val="9"/>
      <color rgb="FF1F4E79"/>
      <name val="Courier New"/>
      <charset val="1"/>
    </font>
    <font>
      <b/>
      <sz val="9"/>
      <color rgb="FF1F4E79"/>
      <name val="Arial"/>
      <charset val="1"/>
    </font>
    <font>
      <i/>
      <sz val="8"/>
      <color rgb="FF88888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FF8E1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8E1"/>
      </patternFill>
    </fill>
    <fill>
      <patternFill patternType="solid">
        <fgColor rgb="FFFFFFFF"/>
        <bgColor rgb="FFFFF8E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C107"/>
      </left>
      <right style="thin">
        <color rgb="FFFFC107"/>
      </right>
      <top style="thin">
        <color rgb="FFFFC107"/>
      </top>
      <bottom style="thin">
        <color rgb="FFFFC10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2" fontId="0" fillId="3" borderId="1" xfId="0" applyNumberFormat="1" applyFill="1" applyBorder="1"/>
    <xf numFmtId="0" fontId="3" fillId="4" borderId="0" xfId="1" applyFont="1" applyFill="1" applyAlignment="1">
      <alignment horizontal="center" vertical="center"/>
    </xf>
    <xf numFmtId="0" fontId="2" fillId="0" borderId="0" xfId="1"/>
    <xf numFmtId="0" fontId="4" fillId="5" borderId="2" xfId="1" applyFont="1" applyFill="1" applyBorder="1" applyAlignment="1">
      <alignment horizontal="left" vertical="center" wrapText="1"/>
    </xf>
    <xf numFmtId="0" fontId="5" fillId="4" borderId="0" xfId="1" applyFont="1" applyFill="1" applyAlignment="1">
      <alignment horizontal="left" vertical="center"/>
    </xf>
    <xf numFmtId="0" fontId="5" fillId="6" borderId="3" xfId="1" applyFont="1" applyFill="1" applyBorder="1" applyAlignment="1">
      <alignment horizontal="left" vertical="center"/>
    </xf>
    <xf numFmtId="0" fontId="6" fillId="7" borderId="3" xfId="1" applyFont="1" applyFill="1" applyBorder="1" applyAlignment="1">
      <alignment horizontal="left" vertical="center" wrapText="1"/>
    </xf>
    <xf numFmtId="0" fontId="6" fillId="8" borderId="3" xfId="1" applyFont="1" applyFill="1" applyBorder="1" applyAlignment="1">
      <alignment horizontal="left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6" fillId="9" borderId="3" xfId="1" applyFont="1" applyFill="1" applyBorder="1" applyAlignment="1">
      <alignment horizontal="left" vertical="center"/>
    </xf>
    <xf numFmtId="0" fontId="7" fillId="9" borderId="3" xfId="1" applyFont="1" applyFill="1" applyBorder="1" applyAlignment="1">
      <alignment horizontal="center" vertical="center"/>
    </xf>
    <xf numFmtId="0" fontId="6" fillId="8" borderId="3" xfId="1" applyFont="1" applyFill="1" applyBorder="1" applyAlignment="1">
      <alignment horizontal="left" vertical="center"/>
    </xf>
    <xf numFmtId="0" fontId="8" fillId="8" borderId="3" xfId="1" applyFont="1" applyFill="1" applyBorder="1" applyAlignment="1">
      <alignment horizontal="center" vertical="center"/>
    </xf>
    <xf numFmtId="0" fontId="8" fillId="9" borderId="3" xfId="1" applyFont="1" applyFill="1" applyBorder="1" applyAlignment="1">
      <alignment horizontal="center" vertical="center"/>
    </xf>
    <xf numFmtId="0" fontId="9" fillId="8" borderId="3" xfId="1" applyFont="1" applyFill="1" applyBorder="1" applyAlignment="1">
      <alignment horizontal="center" vertical="center"/>
    </xf>
    <xf numFmtId="0" fontId="9" fillId="9" borderId="3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 wrapText="1"/>
    </xf>
    <xf numFmtId="0" fontId="7" fillId="9" borderId="3" xfId="1" applyFont="1" applyFill="1" applyBorder="1" applyAlignment="1">
      <alignment horizontal="left" vertical="center"/>
    </xf>
    <xf numFmtId="0" fontId="6" fillId="9" borderId="3" xfId="1" applyFont="1" applyFill="1" applyBorder="1" applyAlignment="1">
      <alignment horizontal="left" vertical="center" wrapText="1"/>
    </xf>
    <xf numFmtId="0" fontId="7" fillId="8" borderId="3" xfId="1" applyFont="1" applyFill="1" applyBorder="1" applyAlignment="1">
      <alignment horizontal="left" vertical="center"/>
    </xf>
    <xf numFmtId="0" fontId="10" fillId="7" borderId="4" xfId="1" applyFont="1" applyFill="1" applyBorder="1" applyAlignment="1">
      <alignment horizontal="center" vertical="center"/>
    </xf>
    <xf numFmtId="0" fontId="8" fillId="9" borderId="3" xfId="1" applyFont="1" applyFill="1" applyBorder="1" applyAlignment="1">
      <alignment horizontal="left" vertical="center"/>
    </xf>
    <xf numFmtId="0" fontId="9" fillId="8" borderId="3" xfId="1" applyFont="1" applyFill="1" applyBorder="1" applyAlignment="1">
      <alignment horizontal="left" vertical="center"/>
    </xf>
    <xf numFmtId="0" fontId="9" fillId="9" borderId="3" xfId="1" applyFont="1" applyFill="1" applyBorder="1" applyAlignment="1">
      <alignment horizontal="left" vertical="center"/>
    </xf>
    <xf numFmtId="0" fontId="5" fillId="6" borderId="3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11" fillId="9" borderId="3" xfId="1" applyFont="1" applyFill="1" applyBorder="1" applyAlignment="1">
      <alignment horizontal="left" vertical="center"/>
    </xf>
    <xf numFmtId="0" fontId="11" fillId="8" borderId="3" xfId="1" applyFont="1" applyFill="1" applyBorder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6" fillId="8" borderId="3" xfId="1" applyFont="1" applyFill="1" applyBorder="1" applyAlignment="1">
      <alignment horizontal="left" vertical="top" wrapText="1"/>
    </xf>
    <xf numFmtId="0" fontId="10" fillId="7" borderId="4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5FFE6D3F-8544-4377-AC15-F2C61A0E09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E98D-BB12-457B-B195-B5B76A116C01}">
  <dimension ref="B1:F81"/>
  <sheetViews>
    <sheetView showGridLines="0" tabSelected="1" zoomScaleNormal="100" workbookViewId="0"/>
  </sheetViews>
  <sheetFormatPr defaultColWidth="8.6640625" defaultRowHeight="14.4" x14ac:dyDescent="0.3"/>
  <cols>
    <col min="1" max="1" width="1.5546875" style="6" customWidth="1"/>
    <col min="2" max="2" width="22" style="6" customWidth="1"/>
    <col min="3" max="5" width="20" style="6" customWidth="1"/>
    <col min="6" max="6" width="24" style="6" customWidth="1"/>
    <col min="7" max="7" width="1.5546875" style="6" customWidth="1"/>
    <col min="8" max="16384" width="8.6640625" style="6"/>
  </cols>
  <sheetData>
    <row r="1" spans="2:6" ht="21.75" customHeight="1" x14ac:dyDescent="0.3">
      <c r="B1" s="5" t="s">
        <v>23</v>
      </c>
      <c r="C1" s="5"/>
      <c r="D1" s="5"/>
      <c r="E1" s="5"/>
      <c r="F1" s="5"/>
    </row>
    <row r="2" spans="2:6" ht="25.8" customHeight="1" x14ac:dyDescent="0.3">
      <c r="B2" s="7" t="s">
        <v>24</v>
      </c>
      <c r="C2" s="7"/>
      <c r="D2" s="7"/>
      <c r="E2" s="7"/>
      <c r="F2" s="7"/>
    </row>
    <row r="3" spans="2:6" ht="6" customHeight="1" x14ac:dyDescent="0.3"/>
    <row r="4" spans="2:6" ht="15.75" customHeight="1" x14ac:dyDescent="0.3">
      <c r="B4" s="8" t="s">
        <v>25</v>
      </c>
      <c r="C4" s="8"/>
      <c r="D4" s="8"/>
      <c r="E4" s="8"/>
      <c r="F4" s="8"/>
    </row>
    <row r="5" spans="2:6" ht="24" customHeight="1" x14ac:dyDescent="0.3">
      <c r="B5" s="9" t="s">
        <v>26</v>
      </c>
      <c r="C5" s="10" t="s">
        <v>27</v>
      </c>
      <c r="D5" s="10"/>
      <c r="E5" s="10"/>
      <c r="F5" s="10"/>
    </row>
    <row r="6" spans="2:6" ht="19.2" customHeight="1" x14ac:dyDescent="0.3">
      <c r="B6" s="9" t="s">
        <v>28</v>
      </c>
      <c r="C6" s="11" t="s">
        <v>29</v>
      </c>
      <c r="D6" s="11"/>
      <c r="E6" s="11"/>
      <c r="F6" s="11"/>
    </row>
    <row r="7" spans="2:6" ht="27" customHeight="1" x14ac:dyDescent="0.3">
      <c r="B7" s="9" t="s">
        <v>30</v>
      </c>
      <c r="C7" s="10" t="s">
        <v>31</v>
      </c>
      <c r="D7" s="10"/>
      <c r="E7" s="10"/>
      <c r="F7" s="10"/>
    </row>
    <row r="8" spans="2:6" ht="6" customHeight="1" x14ac:dyDescent="0.3"/>
    <row r="9" spans="2:6" ht="15.75" customHeight="1" x14ac:dyDescent="0.3">
      <c r="B9" s="8" t="s">
        <v>32</v>
      </c>
      <c r="C9" s="8"/>
      <c r="D9" s="8"/>
      <c r="E9" s="8"/>
      <c r="F9" s="8"/>
    </row>
    <row r="10" spans="2:6" ht="13.5" customHeight="1" x14ac:dyDescent="0.3">
      <c r="B10" s="12" t="s">
        <v>33</v>
      </c>
      <c r="C10" s="12" t="s">
        <v>34</v>
      </c>
      <c r="D10" s="12" t="s">
        <v>35</v>
      </c>
      <c r="E10" s="12" t="s">
        <v>36</v>
      </c>
      <c r="F10" s="12" t="s">
        <v>37</v>
      </c>
    </row>
    <row r="11" spans="2:6" ht="12.75" customHeight="1" x14ac:dyDescent="0.3">
      <c r="B11" s="13" t="s">
        <v>38</v>
      </c>
      <c r="C11" s="13" t="s">
        <v>0</v>
      </c>
      <c r="D11" s="13" t="s">
        <v>39</v>
      </c>
      <c r="E11" s="14" t="s">
        <v>40</v>
      </c>
      <c r="F11" s="13" t="s">
        <v>41</v>
      </c>
    </row>
    <row r="12" spans="2:6" ht="12.75" customHeight="1" x14ac:dyDescent="0.3">
      <c r="B12" s="15" t="s">
        <v>42</v>
      </c>
      <c r="C12" s="15" t="s">
        <v>1</v>
      </c>
      <c r="D12" s="15" t="s">
        <v>43</v>
      </c>
      <c r="E12" s="16" t="s">
        <v>44</v>
      </c>
      <c r="F12" s="15" t="s">
        <v>45</v>
      </c>
    </row>
    <row r="13" spans="2:6" ht="12.75" customHeight="1" x14ac:dyDescent="0.3">
      <c r="B13" s="13" t="s">
        <v>46</v>
      </c>
      <c r="C13" s="13" t="s">
        <v>2</v>
      </c>
      <c r="D13" s="13" t="s">
        <v>43</v>
      </c>
      <c r="E13" s="17" t="s">
        <v>44</v>
      </c>
      <c r="F13" s="13" t="s">
        <v>47</v>
      </c>
    </row>
    <row r="14" spans="2:6" ht="12.75" customHeight="1" x14ac:dyDescent="0.3">
      <c r="B14" s="15" t="s">
        <v>48</v>
      </c>
      <c r="C14" s="15" t="s">
        <v>49</v>
      </c>
      <c r="D14" s="15" t="s">
        <v>43</v>
      </c>
      <c r="E14" s="18" t="s">
        <v>50</v>
      </c>
      <c r="F14" s="15" t="s">
        <v>51</v>
      </c>
    </row>
    <row r="15" spans="2:6" ht="12.75" customHeight="1" x14ac:dyDescent="0.3">
      <c r="B15" s="13" t="s">
        <v>52</v>
      </c>
      <c r="C15" s="13" t="s">
        <v>53</v>
      </c>
      <c r="D15" s="13" t="s">
        <v>54</v>
      </c>
      <c r="E15" s="19" t="s">
        <v>50</v>
      </c>
      <c r="F15" s="13" t="s">
        <v>55</v>
      </c>
    </row>
    <row r="16" spans="2:6" ht="12.75" customHeight="1" x14ac:dyDescent="0.3">
      <c r="B16" s="15" t="s">
        <v>56</v>
      </c>
      <c r="C16" s="15" t="s">
        <v>57</v>
      </c>
      <c r="D16" s="15" t="s">
        <v>58</v>
      </c>
      <c r="E16" s="16" t="s">
        <v>44</v>
      </c>
      <c r="F16" s="15" t="s">
        <v>59</v>
      </c>
    </row>
    <row r="17" spans="2:6" ht="12.75" customHeight="1" x14ac:dyDescent="0.3">
      <c r="B17" s="13" t="s">
        <v>60</v>
      </c>
      <c r="C17" s="13" t="s">
        <v>6</v>
      </c>
      <c r="D17" s="13" t="s">
        <v>58</v>
      </c>
      <c r="E17" s="19" t="s">
        <v>50</v>
      </c>
      <c r="F17" s="13" t="s">
        <v>61</v>
      </c>
    </row>
    <row r="18" spans="2:6" ht="12.75" customHeight="1" x14ac:dyDescent="0.3">
      <c r="B18" s="15" t="s">
        <v>62</v>
      </c>
      <c r="C18" s="15" t="s">
        <v>7</v>
      </c>
      <c r="D18" s="15" t="s">
        <v>54</v>
      </c>
      <c r="E18" s="16" t="s">
        <v>44</v>
      </c>
      <c r="F18" s="15" t="s">
        <v>63</v>
      </c>
    </row>
    <row r="19" spans="2:6" ht="6" customHeight="1" x14ac:dyDescent="0.3"/>
    <row r="20" spans="2:6" ht="15.75" customHeight="1" x14ac:dyDescent="0.3">
      <c r="B20" s="8" t="s">
        <v>64</v>
      </c>
      <c r="C20" s="8"/>
      <c r="D20" s="8"/>
      <c r="E20" s="8"/>
      <c r="F20" s="8"/>
    </row>
    <row r="21" spans="2:6" ht="13.5" customHeight="1" x14ac:dyDescent="0.3">
      <c r="B21" s="12" t="s">
        <v>34</v>
      </c>
      <c r="C21" s="20" t="s">
        <v>65</v>
      </c>
      <c r="D21" s="20"/>
      <c r="E21" s="20"/>
      <c r="F21" s="20"/>
    </row>
    <row r="22" spans="2:6" ht="24" customHeight="1" x14ac:dyDescent="0.3">
      <c r="B22" s="21" t="s">
        <v>66</v>
      </c>
      <c r="C22" s="22" t="s">
        <v>67</v>
      </c>
      <c r="D22" s="22"/>
      <c r="E22" s="22"/>
      <c r="F22" s="22"/>
    </row>
    <row r="23" spans="2:6" ht="24" customHeight="1" x14ac:dyDescent="0.3">
      <c r="B23" s="23" t="s">
        <v>49</v>
      </c>
      <c r="C23" s="11" t="s">
        <v>68</v>
      </c>
      <c r="D23" s="11"/>
      <c r="E23" s="11"/>
      <c r="F23" s="11"/>
    </row>
    <row r="24" spans="2:6" ht="24" customHeight="1" x14ac:dyDescent="0.3">
      <c r="B24" s="21" t="s">
        <v>53</v>
      </c>
      <c r="C24" s="22" t="s">
        <v>69</v>
      </c>
      <c r="D24" s="22"/>
      <c r="E24" s="22"/>
      <c r="F24" s="22"/>
    </row>
    <row r="25" spans="2:6" ht="24" customHeight="1" x14ac:dyDescent="0.3">
      <c r="B25" s="23" t="s">
        <v>57</v>
      </c>
      <c r="C25" s="11" t="s">
        <v>70</v>
      </c>
      <c r="D25" s="11"/>
      <c r="E25" s="11"/>
      <c r="F25" s="11"/>
    </row>
    <row r="26" spans="2:6" ht="24" customHeight="1" x14ac:dyDescent="0.3">
      <c r="B26" s="21" t="s">
        <v>6</v>
      </c>
      <c r="C26" s="22" t="s">
        <v>71</v>
      </c>
      <c r="D26" s="22"/>
      <c r="E26" s="22"/>
      <c r="F26" s="22"/>
    </row>
    <row r="27" spans="2:6" ht="24" customHeight="1" x14ac:dyDescent="0.3">
      <c r="B27" s="23" t="s">
        <v>7</v>
      </c>
      <c r="C27" s="33" t="s">
        <v>72</v>
      </c>
      <c r="D27" s="33"/>
      <c r="E27" s="33"/>
      <c r="F27" s="33"/>
    </row>
    <row r="28" spans="2:6" ht="6" customHeight="1" x14ac:dyDescent="0.3"/>
    <row r="29" spans="2:6" ht="15.75" customHeight="1" thickBot="1" x14ac:dyDescent="0.35">
      <c r="B29" s="8" t="s">
        <v>73</v>
      </c>
      <c r="C29" s="8"/>
      <c r="D29" s="8"/>
      <c r="E29" s="8"/>
      <c r="F29" s="8"/>
    </row>
    <row r="30" spans="2:6" ht="32.4" customHeight="1" thickBot="1" x14ac:dyDescent="0.35">
      <c r="B30" s="34" t="s">
        <v>146</v>
      </c>
      <c r="C30" s="34"/>
      <c r="D30" s="34"/>
      <c r="E30" s="34"/>
      <c r="F30" s="34"/>
    </row>
    <row r="31" spans="2:6" ht="25.8" customHeight="1" x14ac:dyDescent="0.3">
      <c r="B31" s="9" t="s">
        <v>74</v>
      </c>
      <c r="C31" s="10" t="s">
        <v>75</v>
      </c>
      <c r="D31" s="10"/>
      <c r="E31" s="10"/>
      <c r="F31" s="10"/>
    </row>
    <row r="32" spans="2:6" ht="6" customHeight="1" x14ac:dyDescent="0.3"/>
    <row r="33" spans="2:6" ht="15.75" customHeight="1" thickBot="1" x14ac:dyDescent="0.35">
      <c r="B33" s="8" t="s">
        <v>76</v>
      </c>
      <c r="C33" s="8"/>
      <c r="D33" s="8"/>
      <c r="E33" s="8"/>
      <c r="F33" s="8"/>
    </row>
    <row r="34" spans="2:6" ht="18" customHeight="1" thickBot="1" x14ac:dyDescent="0.35">
      <c r="B34" s="24" t="s">
        <v>77</v>
      </c>
      <c r="C34" s="24"/>
      <c r="D34" s="24"/>
      <c r="E34" s="24"/>
      <c r="F34" s="24"/>
    </row>
    <row r="35" spans="2:6" ht="18" customHeight="1" thickBot="1" x14ac:dyDescent="0.35">
      <c r="B35" s="24" t="s">
        <v>78</v>
      </c>
      <c r="C35" s="24"/>
      <c r="D35" s="24"/>
      <c r="E35" s="24"/>
      <c r="F35" s="24"/>
    </row>
    <row r="36" spans="2:6" ht="18" customHeight="1" thickBot="1" x14ac:dyDescent="0.35">
      <c r="B36" s="24" t="s">
        <v>79</v>
      </c>
      <c r="C36" s="24"/>
      <c r="D36" s="24"/>
      <c r="E36" s="24"/>
      <c r="F36" s="24"/>
    </row>
    <row r="37" spans="2:6" ht="18" customHeight="1" thickBot="1" x14ac:dyDescent="0.35">
      <c r="B37" s="24" t="s">
        <v>80</v>
      </c>
      <c r="C37" s="24"/>
      <c r="D37" s="24"/>
      <c r="E37" s="24"/>
      <c r="F37" s="24"/>
    </row>
    <row r="38" spans="2:6" ht="4.5" customHeight="1" x14ac:dyDescent="0.3"/>
    <row r="39" spans="2:6" ht="24" customHeight="1" x14ac:dyDescent="0.3">
      <c r="B39" s="9" t="s">
        <v>81</v>
      </c>
      <c r="C39" s="10" t="s">
        <v>82</v>
      </c>
      <c r="D39" s="10"/>
      <c r="E39" s="10"/>
      <c r="F39" s="10"/>
    </row>
    <row r="40" spans="2:6" ht="25.2" customHeight="1" x14ac:dyDescent="0.3">
      <c r="B40" s="9" t="s">
        <v>83</v>
      </c>
      <c r="C40" s="11" t="s">
        <v>84</v>
      </c>
      <c r="D40" s="11"/>
      <c r="E40" s="11"/>
      <c r="F40" s="11"/>
    </row>
    <row r="41" spans="2:6" ht="23.4" customHeight="1" x14ac:dyDescent="0.3">
      <c r="B41" s="9" t="s">
        <v>85</v>
      </c>
      <c r="C41" s="10" t="s">
        <v>86</v>
      </c>
      <c r="D41" s="10"/>
      <c r="E41" s="10"/>
      <c r="F41" s="10"/>
    </row>
    <row r="42" spans="2:6" ht="6" customHeight="1" x14ac:dyDescent="0.3"/>
    <row r="43" spans="2:6" ht="15.75" customHeight="1" x14ac:dyDescent="0.3">
      <c r="B43" s="8" t="s">
        <v>87</v>
      </c>
      <c r="C43" s="8"/>
      <c r="D43" s="8"/>
      <c r="E43" s="8"/>
      <c r="F43" s="8"/>
    </row>
    <row r="44" spans="2:6" ht="13.5" customHeight="1" x14ac:dyDescent="0.3">
      <c r="B44" s="12" t="s">
        <v>88</v>
      </c>
      <c r="C44" s="20" t="s">
        <v>89</v>
      </c>
      <c r="D44" s="20"/>
      <c r="E44" s="20"/>
      <c r="F44" s="20"/>
    </row>
    <row r="45" spans="2:6" ht="24" customHeight="1" x14ac:dyDescent="0.3">
      <c r="B45" s="25" t="s">
        <v>90</v>
      </c>
      <c r="C45" s="22" t="s">
        <v>91</v>
      </c>
      <c r="D45" s="22"/>
      <c r="E45" s="22"/>
      <c r="F45" s="22"/>
    </row>
    <row r="46" spans="2:6" ht="24" customHeight="1" x14ac:dyDescent="0.3">
      <c r="B46" s="26" t="s">
        <v>92</v>
      </c>
      <c r="C46" s="11" t="s">
        <v>93</v>
      </c>
      <c r="D46" s="11"/>
      <c r="E46" s="11"/>
      <c r="F46" s="11"/>
    </row>
    <row r="47" spans="2:6" ht="24" customHeight="1" x14ac:dyDescent="0.3">
      <c r="B47" s="27" t="s">
        <v>94</v>
      </c>
      <c r="C47" s="22" t="s">
        <v>95</v>
      </c>
      <c r="D47" s="22"/>
      <c r="E47" s="22"/>
      <c r="F47" s="22"/>
    </row>
    <row r="48" spans="2:6" ht="24" customHeight="1" x14ac:dyDescent="0.3">
      <c r="B48" s="26" t="s">
        <v>96</v>
      </c>
      <c r="C48" s="11" t="s">
        <v>97</v>
      </c>
      <c r="D48" s="11"/>
      <c r="E48" s="11"/>
      <c r="F48" s="11"/>
    </row>
    <row r="49" spans="2:6" ht="6" customHeight="1" x14ac:dyDescent="0.3"/>
    <row r="50" spans="2:6" ht="15.75" customHeight="1" x14ac:dyDescent="0.3">
      <c r="B50" s="8" t="s">
        <v>98</v>
      </c>
      <c r="C50" s="8"/>
      <c r="D50" s="8"/>
      <c r="E50" s="8"/>
      <c r="F50" s="8"/>
    </row>
    <row r="51" spans="2:6" ht="13.5" customHeight="1" x14ac:dyDescent="0.3">
      <c r="B51" s="12" t="s">
        <v>99</v>
      </c>
      <c r="C51" s="20" t="s">
        <v>100</v>
      </c>
      <c r="D51" s="20"/>
      <c r="E51" s="20"/>
      <c r="F51" s="20"/>
    </row>
    <row r="52" spans="2:6" ht="19.5" customHeight="1" x14ac:dyDescent="0.3">
      <c r="B52" s="28" t="s">
        <v>101</v>
      </c>
      <c r="C52" s="22" t="s">
        <v>102</v>
      </c>
      <c r="D52" s="22"/>
      <c r="E52" s="22"/>
      <c r="F52" s="22"/>
    </row>
    <row r="53" spans="2:6" ht="19.5" customHeight="1" x14ac:dyDescent="0.3">
      <c r="B53" s="29" t="s">
        <v>103</v>
      </c>
      <c r="C53" s="11" t="s">
        <v>104</v>
      </c>
      <c r="D53" s="11"/>
      <c r="E53" s="11"/>
      <c r="F53" s="11"/>
    </row>
    <row r="54" spans="2:6" ht="19.5" customHeight="1" x14ac:dyDescent="0.3">
      <c r="B54" s="28" t="s">
        <v>105</v>
      </c>
      <c r="C54" s="22" t="s">
        <v>106</v>
      </c>
      <c r="D54" s="22"/>
      <c r="E54" s="22"/>
      <c r="F54" s="22"/>
    </row>
    <row r="55" spans="2:6" ht="19.5" customHeight="1" x14ac:dyDescent="0.3">
      <c r="B55" s="29" t="s">
        <v>107</v>
      </c>
      <c r="C55" s="11" t="s">
        <v>108</v>
      </c>
      <c r="D55" s="11"/>
      <c r="E55" s="11"/>
      <c r="F55" s="11"/>
    </row>
    <row r="56" spans="2:6" ht="19.5" customHeight="1" x14ac:dyDescent="0.3">
      <c r="B56" s="28" t="s">
        <v>109</v>
      </c>
      <c r="C56" s="22" t="s">
        <v>110</v>
      </c>
      <c r="D56" s="22"/>
      <c r="E56" s="22"/>
      <c r="F56" s="22"/>
    </row>
    <row r="57" spans="2:6" ht="19.5" customHeight="1" x14ac:dyDescent="0.3">
      <c r="B57" s="29" t="s">
        <v>111</v>
      </c>
      <c r="C57" s="11" t="s">
        <v>112</v>
      </c>
      <c r="D57" s="11"/>
      <c r="E57" s="11"/>
      <c r="F57" s="11"/>
    </row>
    <row r="58" spans="2:6" ht="6" customHeight="1" x14ac:dyDescent="0.3"/>
    <row r="59" spans="2:6" ht="15.75" customHeight="1" x14ac:dyDescent="0.3">
      <c r="B59" s="8" t="s">
        <v>113</v>
      </c>
      <c r="C59" s="8"/>
      <c r="D59" s="8"/>
      <c r="E59" s="8"/>
      <c r="F59" s="8"/>
    </row>
    <row r="60" spans="2:6" ht="13.5" customHeight="1" x14ac:dyDescent="0.3">
      <c r="B60" s="12" t="s">
        <v>114</v>
      </c>
      <c r="C60" s="20" t="s">
        <v>115</v>
      </c>
      <c r="D60" s="20"/>
      <c r="E60" s="20"/>
      <c r="F60" s="20"/>
    </row>
    <row r="61" spans="2:6" ht="18" customHeight="1" x14ac:dyDescent="0.3">
      <c r="B61" s="21" t="s">
        <v>116</v>
      </c>
      <c r="C61" s="22" t="s">
        <v>117</v>
      </c>
      <c r="D61" s="22"/>
      <c r="E61" s="22"/>
      <c r="F61" s="22"/>
    </row>
    <row r="62" spans="2:6" ht="18" customHeight="1" x14ac:dyDescent="0.3">
      <c r="B62" s="23" t="s">
        <v>118</v>
      </c>
      <c r="C62" s="11" t="s">
        <v>119</v>
      </c>
      <c r="D62" s="11"/>
      <c r="E62" s="11"/>
      <c r="F62" s="11"/>
    </row>
    <row r="63" spans="2:6" ht="18" customHeight="1" x14ac:dyDescent="0.3">
      <c r="B63" s="21" t="s">
        <v>120</v>
      </c>
      <c r="C63" s="22" t="s">
        <v>121</v>
      </c>
      <c r="D63" s="22"/>
      <c r="E63" s="22"/>
      <c r="F63" s="22"/>
    </row>
    <row r="64" spans="2:6" ht="18" customHeight="1" x14ac:dyDescent="0.3">
      <c r="B64" s="23" t="s">
        <v>122</v>
      </c>
      <c r="C64" s="11" t="s">
        <v>123</v>
      </c>
      <c r="D64" s="11"/>
      <c r="E64" s="11"/>
      <c r="F64" s="11"/>
    </row>
    <row r="65" spans="2:6" ht="18" customHeight="1" x14ac:dyDescent="0.3">
      <c r="B65" s="21" t="s">
        <v>124</v>
      </c>
      <c r="C65" s="22" t="s">
        <v>125</v>
      </c>
      <c r="D65" s="22"/>
      <c r="E65" s="22"/>
      <c r="F65" s="22"/>
    </row>
    <row r="66" spans="2:6" ht="18" customHeight="1" x14ac:dyDescent="0.3">
      <c r="B66" s="23" t="s">
        <v>126</v>
      </c>
      <c r="C66" s="11" t="s">
        <v>127</v>
      </c>
      <c r="D66" s="11"/>
      <c r="E66" s="11"/>
      <c r="F66" s="11"/>
    </row>
    <row r="67" spans="2:6" ht="6" customHeight="1" x14ac:dyDescent="0.3"/>
    <row r="68" spans="2:6" ht="15.75" customHeight="1" x14ac:dyDescent="0.3">
      <c r="B68" s="8" t="s">
        <v>128</v>
      </c>
      <c r="C68" s="8"/>
      <c r="D68" s="8"/>
      <c r="E68" s="8"/>
      <c r="F68" s="8"/>
    </row>
    <row r="69" spans="2:6" ht="13.5" customHeight="1" x14ac:dyDescent="0.3">
      <c r="B69" s="12" t="s">
        <v>129</v>
      </c>
      <c r="C69" s="20" t="s">
        <v>65</v>
      </c>
      <c r="D69" s="20"/>
      <c r="E69" s="20"/>
      <c r="F69" s="20"/>
    </row>
    <row r="70" spans="2:6" ht="13.5" customHeight="1" x14ac:dyDescent="0.3">
      <c r="B70" s="30" t="s">
        <v>130</v>
      </c>
      <c r="C70" s="22" t="s">
        <v>131</v>
      </c>
      <c r="D70" s="22"/>
      <c r="E70" s="22"/>
      <c r="F70" s="22"/>
    </row>
    <row r="71" spans="2:6" ht="13.5" customHeight="1" x14ac:dyDescent="0.3">
      <c r="B71" s="31" t="s">
        <v>4</v>
      </c>
      <c r="C71" s="11" t="s">
        <v>132</v>
      </c>
      <c r="D71" s="11"/>
      <c r="E71" s="11"/>
      <c r="F71" s="11"/>
    </row>
    <row r="72" spans="2:6" ht="13.5" customHeight="1" x14ac:dyDescent="0.3">
      <c r="B72" s="30" t="s">
        <v>57</v>
      </c>
      <c r="C72" s="22" t="s">
        <v>133</v>
      </c>
      <c r="D72" s="22"/>
      <c r="E72" s="22"/>
      <c r="F72" s="22"/>
    </row>
    <row r="73" spans="2:6" ht="13.5" customHeight="1" x14ac:dyDescent="0.3">
      <c r="B73" s="31" t="s">
        <v>6</v>
      </c>
      <c r="C73" s="11" t="s">
        <v>134</v>
      </c>
      <c r="D73" s="11"/>
      <c r="E73" s="11"/>
      <c r="F73" s="11"/>
    </row>
    <row r="74" spans="2:6" ht="13.5" customHeight="1" x14ac:dyDescent="0.3">
      <c r="B74" s="30" t="s">
        <v>7</v>
      </c>
      <c r="C74" s="22" t="s">
        <v>135</v>
      </c>
      <c r="D74" s="22"/>
      <c r="E74" s="22"/>
      <c r="F74" s="22"/>
    </row>
    <row r="75" spans="2:6" ht="13.5" customHeight="1" x14ac:dyDescent="0.3">
      <c r="B75" s="31" t="s">
        <v>49</v>
      </c>
      <c r="C75" s="11" t="s">
        <v>136</v>
      </c>
      <c r="D75" s="11"/>
      <c r="E75" s="11"/>
      <c r="F75" s="11"/>
    </row>
    <row r="76" spans="2:6" ht="13.5" customHeight="1" x14ac:dyDescent="0.3">
      <c r="B76" s="30" t="s">
        <v>137</v>
      </c>
      <c r="C76" s="22" t="s">
        <v>138</v>
      </c>
      <c r="D76" s="22"/>
      <c r="E76" s="22"/>
      <c r="F76" s="22"/>
    </row>
    <row r="77" spans="2:6" ht="13.5" customHeight="1" x14ac:dyDescent="0.3">
      <c r="B77" s="31" t="s">
        <v>139</v>
      </c>
      <c r="C77" s="11" t="s">
        <v>140</v>
      </c>
      <c r="D77" s="11"/>
      <c r="E77" s="11"/>
      <c r="F77" s="11"/>
    </row>
    <row r="78" spans="2:6" ht="13.5" customHeight="1" x14ac:dyDescent="0.3">
      <c r="B78" s="30" t="s">
        <v>141</v>
      </c>
      <c r="C78" s="22" t="s">
        <v>142</v>
      </c>
      <c r="D78" s="22"/>
      <c r="E78" s="22"/>
      <c r="F78" s="22"/>
    </row>
    <row r="79" spans="2:6" ht="13.5" customHeight="1" x14ac:dyDescent="0.3">
      <c r="B79" s="31" t="s">
        <v>143</v>
      </c>
      <c r="C79" s="11" t="s">
        <v>144</v>
      </c>
      <c r="D79" s="11"/>
      <c r="E79" s="11"/>
      <c r="F79" s="11"/>
    </row>
    <row r="80" spans="2:6" ht="6" customHeight="1" x14ac:dyDescent="0.3"/>
    <row r="81" spans="2:6" ht="13.5" customHeight="1" x14ac:dyDescent="0.3">
      <c r="B81" s="32" t="s">
        <v>145</v>
      </c>
      <c r="C81" s="32"/>
      <c r="D81" s="32"/>
      <c r="E81" s="32"/>
      <c r="F81" s="32"/>
    </row>
  </sheetData>
  <mergeCells count="61">
    <mergeCell ref="B81:F81"/>
    <mergeCell ref="C74:F74"/>
    <mergeCell ref="C75:F75"/>
    <mergeCell ref="C76:F76"/>
    <mergeCell ref="C77:F77"/>
    <mergeCell ref="C78:F78"/>
    <mergeCell ref="C79:F79"/>
    <mergeCell ref="B68:F68"/>
    <mergeCell ref="C69:F69"/>
    <mergeCell ref="C70:F70"/>
    <mergeCell ref="C71:F71"/>
    <mergeCell ref="C72:F72"/>
    <mergeCell ref="C73:F73"/>
    <mergeCell ref="C61:F61"/>
    <mergeCell ref="C62:F62"/>
    <mergeCell ref="C63:F63"/>
    <mergeCell ref="C64:F64"/>
    <mergeCell ref="C65:F65"/>
    <mergeCell ref="C66:F66"/>
    <mergeCell ref="C54:F54"/>
    <mergeCell ref="C55:F55"/>
    <mergeCell ref="C56:F56"/>
    <mergeCell ref="C57:F57"/>
    <mergeCell ref="B59:F59"/>
    <mergeCell ref="C60:F60"/>
    <mergeCell ref="C47:F47"/>
    <mergeCell ref="C48:F48"/>
    <mergeCell ref="B50:F50"/>
    <mergeCell ref="C51:F51"/>
    <mergeCell ref="C52:F52"/>
    <mergeCell ref="C53:F53"/>
    <mergeCell ref="C40:F40"/>
    <mergeCell ref="C41:F41"/>
    <mergeCell ref="B43:F43"/>
    <mergeCell ref="C44:F44"/>
    <mergeCell ref="C45:F45"/>
    <mergeCell ref="C46:F46"/>
    <mergeCell ref="B33:F33"/>
    <mergeCell ref="B34:F34"/>
    <mergeCell ref="B35:F35"/>
    <mergeCell ref="B36:F36"/>
    <mergeCell ref="B37:F37"/>
    <mergeCell ref="C39:F39"/>
    <mergeCell ref="C25:F25"/>
    <mergeCell ref="C26:F26"/>
    <mergeCell ref="C27:F27"/>
    <mergeCell ref="B29:F29"/>
    <mergeCell ref="B30:F30"/>
    <mergeCell ref="C31:F31"/>
    <mergeCell ref="B9:F9"/>
    <mergeCell ref="B20:F20"/>
    <mergeCell ref="C21:F21"/>
    <mergeCell ref="C22:F22"/>
    <mergeCell ref="C23:F23"/>
    <mergeCell ref="C24:F24"/>
    <mergeCell ref="B1:F1"/>
    <mergeCell ref="B2:F2"/>
    <mergeCell ref="B4:F4"/>
    <mergeCell ref="C5:F5"/>
    <mergeCell ref="C6:F6"/>
    <mergeCell ref="C7:F7"/>
  </mergeCells>
  <pageMargins left="0.75" right="0.75" top="1" bottom="1" header="0.511811023622047" footer="0.511811023622047"/>
  <pageSetup paperSize="9" orientation="portrait" horizontalDpi="300" verticalDpi="300"/>
  <ignoredErrors>
    <ignoredError sqref="F12:F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2" sqref="C22"/>
    </sheetView>
  </sheetViews>
  <sheetFormatPr defaultRowHeight="14.4" x14ac:dyDescent="0.3"/>
  <cols>
    <col min="1" max="1" width="29.88671875" bestFit="1" customWidth="1"/>
    <col min="2" max="2" width="8.5546875" bestFit="1" customWidth="1"/>
    <col min="3" max="3" width="21" bestFit="1" customWidth="1"/>
    <col min="4" max="4" width="23.44140625" bestFit="1" customWidth="1"/>
    <col min="5" max="5" width="7.44140625" bestFit="1" customWidth="1"/>
    <col min="6" max="6" width="7.109375" bestFit="1" customWidth="1"/>
    <col min="7" max="7" width="5" bestFit="1" customWidth="1"/>
    <col min="8" max="8" width="5.88671875" bestFit="1" customWidth="1"/>
    <col min="9" max="9" width="11.21875" bestFit="1" customWidth="1"/>
    <col min="10" max="10" width="10.77734375" bestFit="1" customWidth="1"/>
    <col min="11" max="11" width="8.109375" bestFit="1" customWidth="1"/>
    <col min="12" max="13" width="12" bestFit="1" customWidth="1"/>
    <col min="14" max="14" width="13.21875" bestFit="1" customWidth="1"/>
    <col min="15" max="15" width="12.6640625" bestFit="1" customWidth="1"/>
    <col min="16" max="16" width="12.33203125" bestFit="1" customWidth="1"/>
    <col min="17" max="20" width="12" bestFit="1" customWidth="1"/>
    <col min="21" max="21" width="9.77734375" bestFit="1" customWidth="1"/>
    <col min="22" max="22" width="12" bestFit="1" customWidth="1"/>
    <col min="23" max="23" width="5.2187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1"/>
      <c r="B2" s="1"/>
      <c r="C2" s="1"/>
      <c r="D2" s="1"/>
      <c r="E2" s="1"/>
      <c r="F2" s="1"/>
      <c r="G2" s="1"/>
      <c r="H2" s="1"/>
      <c r="I2" s="3">
        <f t="shared" ref="I2:J8" si="0">MAX(D$2:D$8)-D2</f>
        <v>0</v>
      </c>
      <c r="J2" s="3">
        <f t="shared" si="0"/>
        <v>0</v>
      </c>
      <c r="K2" s="3">
        <f t="shared" ref="K2:K8" si="1">MAX(G$2:G$8)-G2</f>
        <v>0</v>
      </c>
      <c r="L2" s="4" t="e">
        <f>(B2-MIN(B$2:B$8))/(MAX(B$2:B$8)-MIN(B$2:B$8))</f>
        <v>#DIV/0!</v>
      </c>
      <c r="M2" s="4" t="e">
        <f t="shared" ref="L2:M8" si="2">(C2-MIN(C$2:C$8))/(MAX(C$2:C$8)-MIN(C$2:C$8))</f>
        <v>#DIV/0!</v>
      </c>
      <c r="N2" s="4" t="e">
        <f t="shared" ref="N2:O8" si="3">(I2-MIN(I$2:I$8))/(MAX(I$2:I$8)-MIN(I$2:I$8))</f>
        <v>#DIV/0!</v>
      </c>
      <c r="O2" s="4" t="e">
        <f t="shared" si="3"/>
        <v>#DIV/0!</v>
      </c>
      <c r="P2" s="4" t="e">
        <f t="shared" ref="P2:P8" si="4">(F2-MIN(F$2:F$8))/(MAX(F$2:F$8)-MIN(F$2:F$8))</f>
        <v>#DIV/0!</v>
      </c>
      <c r="Q2" s="4" t="e">
        <f t="shared" ref="Q2:Q8" si="5">(K2-MIN(K$2:K$8))/(MAX(K$2:K$8)-MIN(K$2:K$8))</f>
        <v>#DIV/0!</v>
      </c>
      <c r="R2" s="4" t="e">
        <f t="shared" ref="R2:R8" si="6">(H2-MIN(H$2:H$8))/(MAX(H$2:H$8)-MIN(H$2:H$8))</f>
        <v>#DIV/0!</v>
      </c>
      <c r="S2" s="4" t="e">
        <f t="shared" ref="S2:S8" si="7">AVERAGE(L2,M2,R2)</f>
        <v>#DIV/0!</v>
      </c>
      <c r="T2" s="4" t="e">
        <f>0.4*P2+0.3*Q2+0.3*O2</f>
        <v>#DIV/0!</v>
      </c>
      <c r="U2" s="4" t="e">
        <f t="shared" ref="U2:U8" si="8">N2</f>
        <v>#DIV/0!</v>
      </c>
      <c r="V2" s="4" t="e">
        <f>+(0.6*S2)+(0.2*T2)+(0.2*U2)</f>
        <v>#DIV/0!</v>
      </c>
      <c r="W2" s="3" t="e">
        <f t="shared" ref="W2:W8" si="9">RANK(V2,V$2:V$8,0)</f>
        <v>#DIV/0!</v>
      </c>
    </row>
    <row r="3" spans="1:23" x14ac:dyDescent="0.3">
      <c r="A3" s="1"/>
      <c r="B3" s="1"/>
      <c r="C3" s="1"/>
      <c r="D3" s="1"/>
      <c r="E3" s="1"/>
      <c r="F3" s="1"/>
      <c r="G3" s="1"/>
      <c r="H3" s="1"/>
      <c r="I3" s="3">
        <f t="shared" si="0"/>
        <v>0</v>
      </c>
      <c r="J3" s="3">
        <f t="shared" si="0"/>
        <v>0</v>
      </c>
      <c r="K3" s="3">
        <f t="shared" si="1"/>
        <v>0</v>
      </c>
      <c r="L3" s="4" t="e">
        <f t="shared" si="2"/>
        <v>#DIV/0!</v>
      </c>
      <c r="M3" s="4" t="e">
        <f t="shared" si="2"/>
        <v>#DIV/0!</v>
      </c>
      <c r="N3" s="4" t="e">
        <f t="shared" si="3"/>
        <v>#DIV/0!</v>
      </c>
      <c r="O3" s="4" t="e">
        <f t="shared" si="3"/>
        <v>#DIV/0!</v>
      </c>
      <c r="P3" s="4" t="e">
        <f t="shared" si="4"/>
        <v>#DIV/0!</v>
      </c>
      <c r="Q3" s="4" t="e">
        <f t="shared" si="5"/>
        <v>#DIV/0!</v>
      </c>
      <c r="R3" s="4" t="e">
        <f t="shared" si="6"/>
        <v>#DIV/0!</v>
      </c>
      <c r="S3" s="4" t="e">
        <f t="shared" si="7"/>
        <v>#DIV/0!</v>
      </c>
      <c r="T3" s="4" t="e">
        <f t="shared" ref="T3:T8" si="10">0.4*P3+0.3*Q3+0.3*O3</f>
        <v>#DIV/0!</v>
      </c>
      <c r="U3" s="4" t="e">
        <f t="shared" si="8"/>
        <v>#DIV/0!</v>
      </c>
      <c r="V3" s="4" t="e">
        <f t="shared" ref="V3:V8" si="11">+(0.6*S3)+(0.2*T3)+(0.2*U3)</f>
        <v>#DIV/0!</v>
      </c>
      <c r="W3" s="3" t="e">
        <f t="shared" si="9"/>
        <v>#DIV/0!</v>
      </c>
    </row>
    <row r="4" spans="1:23" x14ac:dyDescent="0.3">
      <c r="A4" s="1"/>
      <c r="B4" s="1"/>
      <c r="C4" s="1"/>
      <c r="D4" s="1"/>
      <c r="E4" s="1"/>
      <c r="F4" s="1"/>
      <c r="G4" s="1"/>
      <c r="H4" s="1"/>
      <c r="I4" s="3">
        <f t="shared" si="0"/>
        <v>0</v>
      </c>
      <c r="J4" s="3">
        <f t="shared" si="0"/>
        <v>0</v>
      </c>
      <c r="K4" s="3">
        <f t="shared" si="1"/>
        <v>0</v>
      </c>
      <c r="L4" s="4" t="e">
        <f t="shared" si="2"/>
        <v>#DIV/0!</v>
      </c>
      <c r="M4" s="4" t="e">
        <f t="shared" si="2"/>
        <v>#DIV/0!</v>
      </c>
      <c r="N4" s="4" t="e">
        <f t="shared" si="3"/>
        <v>#DIV/0!</v>
      </c>
      <c r="O4" s="4" t="e">
        <f t="shared" si="3"/>
        <v>#DIV/0!</v>
      </c>
      <c r="P4" s="4" t="e">
        <f t="shared" si="4"/>
        <v>#DIV/0!</v>
      </c>
      <c r="Q4" s="4" t="e">
        <f t="shared" si="5"/>
        <v>#DIV/0!</v>
      </c>
      <c r="R4" s="4" t="e">
        <f t="shared" si="6"/>
        <v>#DIV/0!</v>
      </c>
      <c r="S4" s="4" t="e">
        <f t="shared" si="7"/>
        <v>#DIV/0!</v>
      </c>
      <c r="T4" s="4" t="e">
        <f t="shared" si="10"/>
        <v>#DIV/0!</v>
      </c>
      <c r="U4" s="4" t="e">
        <f t="shared" si="8"/>
        <v>#DIV/0!</v>
      </c>
      <c r="V4" s="4" t="e">
        <f t="shared" si="11"/>
        <v>#DIV/0!</v>
      </c>
      <c r="W4" s="3" t="e">
        <f t="shared" si="9"/>
        <v>#DIV/0!</v>
      </c>
    </row>
    <row r="5" spans="1:23" x14ac:dyDescent="0.3">
      <c r="A5" s="1"/>
      <c r="B5" s="1"/>
      <c r="C5" s="1"/>
      <c r="D5" s="1"/>
      <c r="E5" s="1"/>
      <c r="F5" s="1"/>
      <c r="G5" s="1"/>
      <c r="H5" s="1"/>
      <c r="I5" s="3">
        <f t="shared" si="0"/>
        <v>0</v>
      </c>
      <c r="J5" s="3">
        <f t="shared" si="0"/>
        <v>0</v>
      </c>
      <c r="K5" s="3">
        <f t="shared" si="1"/>
        <v>0</v>
      </c>
      <c r="L5" s="4" t="e">
        <f t="shared" si="2"/>
        <v>#DIV/0!</v>
      </c>
      <c r="M5" s="4" t="e">
        <f t="shared" si="2"/>
        <v>#DIV/0!</v>
      </c>
      <c r="N5" s="4" t="e">
        <f t="shared" si="3"/>
        <v>#DIV/0!</v>
      </c>
      <c r="O5" s="4" t="e">
        <f t="shared" si="3"/>
        <v>#DIV/0!</v>
      </c>
      <c r="P5" s="4" t="e">
        <f t="shared" si="4"/>
        <v>#DIV/0!</v>
      </c>
      <c r="Q5" s="4" t="e">
        <f t="shared" si="5"/>
        <v>#DIV/0!</v>
      </c>
      <c r="R5" s="4" t="e">
        <f t="shared" si="6"/>
        <v>#DIV/0!</v>
      </c>
      <c r="S5" s="4" t="e">
        <f t="shared" si="7"/>
        <v>#DIV/0!</v>
      </c>
      <c r="T5" s="4" t="e">
        <f t="shared" si="10"/>
        <v>#DIV/0!</v>
      </c>
      <c r="U5" s="4" t="e">
        <f t="shared" si="8"/>
        <v>#DIV/0!</v>
      </c>
      <c r="V5" s="4" t="e">
        <f t="shared" si="11"/>
        <v>#DIV/0!</v>
      </c>
      <c r="W5" s="3" t="e">
        <f t="shared" si="9"/>
        <v>#DIV/0!</v>
      </c>
    </row>
    <row r="6" spans="1:23" x14ac:dyDescent="0.3">
      <c r="A6" s="1"/>
      <c r="B6" s="1"/>
      <c r="C6" s="1"/>
      <c r="D6" s="1"/>
      <c r="E6" s="1"/>
      <c r="F6" s="1"/>
      <c r="G6" s="1"/>
      <c r="H6" s="1"/>
      <c r="I6" s="3">
        <f t="shared" si="0"/>
        <v>0</v>
      </c>
      <c r="J6" s="3">
        <f t="shared" si="0"/>
        <v>0</v>
      </c>
      <c r="K6" s="3">
        <f t="shared" si="1"/>
        <v>0</v>
      </c>
      <c r="L6" s="4" t="e">
        <f t="shared" si="2"/>
        <v>#DIV/0!</v>
      </c>
      <c r="M6" s="4" t="e">
        <f t="shared" si="2"/>
        <v>#DIV/0!</v>
      </c>
      <c r="N6" s="4" t="e">
        <f t="shared" si="3"/>
        <v>#DIV/0!</v>
      </c>
      <c r="O6" s="4" t="e">
        <f t="shared" si="3"/>
        <v>#DIV/0!</v>
      </c>
      <c r="P6" s="4" t="e">
        <f t="shared" si="4"/>
        <v>#DIV/0!</v>
      </c>
      <c r="Q6" s="4" t="e">
        <f t="shared" si="5"/>
        <v>#DIV/0!</v>
      </c>
      <c r="R6" s="4" t="e">
        <f t="shared" si="6"/>
        <v>#DIV/0!</v>
      </c>
      <c r="S6" s="4" t="e">
        <f t="shared" si="7"/>
        <v>#DIV/0!</v>
      </c>
      <c r="T6" s="4" t="e">
        <f t="shared" si="10"/>
        <v>#DIV/0!</v>
      </c>
      <c r="U6" s="4" t="e">
        <f t="shared" si="8"/>
        <v>#DIV/0!</v>
      </c>
      <c r="V6" s="4" t="e">
        <f t="shared" si="11"/>
        <v>#DIV/0!</v>
      </c>
      <c r="W6" s="3" t="e">
        <f t="shared" si="9"/>
        <v>#DIV/0!</v>
      </c>
    </row>
    <row r="7" spans="1:23" x14ac:dyDescent="0.3">
      <c r="A7" s="1"/>
      <c r="B7" s="1"/>
      <c r="C7" s="1"/>
      <c r="D7" s="1"/>
      <c r="E7" s="1"/>
      <c r="F7" s="1"/>
      <c r="G7" s="1"/>
      <c r="H7" s="1"/>
      <c r="I7" s="3">
        <f t="shared" si="0"/>
        <v>0</v>
      </c>
      <c r="J7" s="3">
        <f t="shared" si="0"/>
        <v>0</v>
      </c>
      <c r="K7" s="3">
        <f t="shared" si="1"/>
        <v>0</v>
      </c>
      <c r="L7" s="4" t="e">
        <f t="shared" si="2"/>
        <v>#DIV/0!</v>
      </c>
      <c r="M7" s="4" t="e">
        <f t="shared" si="2"/>
        <v>#DIV/0!</v>
      </c>
      <c r="N7" s="4" t="e">
        <f t="shared" si="3"/>
        <v>#DIV/0!</v>
      </c>
      <c r="O7" s="4" t="e">
        <f t="shared" si="3"/>
        <v>#DIV/0!</v>
      </c>
      <c r="P7" s="4" t="e">
        <f t="shared" si="4"/>
        <v>#DIV/0!</v>
      </c>
      <c r="Q7" s="4" t="e">
        <f t="shared" si="5"/>
        <v>#DIV/0!</v>
      </c>
      <c r="R7" s="4" t="e">
        <f t="shared" si="6"/>
        <v>#DIV/0!</v>
      </c>
      <c r="S7" s="4" t="e">
        <f t="shared" si="7"/>
        <v>#DIV/0!</v>
      </c>
      <c r="T7" s="4" t="e">
        <f t="shared" si="10"/>
        <v>#DIV/0!</v>
      </c>
      <c r="U7" s="4" t="e">
        <f t="shared" si="8"/>
        <v>#DIV/0!</v>
      </c>
      <c r="V7" s="4" t="e">
        <f t="shared" si="11"/>
        <v>#DIV/0!</v>
      </c>
      <c r="W7" s="3" t="e">
        <f t="shared" si="9"/>
        <v>#DIV/0!</v>
      </c>
    </row>
    <row r="8" spans="1:23" x14ac:dyDescent="0.3">
      <c r="A8" s="1"/>
      <c r="B8" s="1"/>
      <c r="C8" s="1"/>
      <c r="D8" s="1"/>
      <c r="E8" s="1"/>
      <c r="F8" s="1"/>
      <c r="G8" s="1"/>
      <c r="H8" s="1"/>
      <c r="I8" s="3">
        <f t="shared" si="0"/>
        <v>0</v>
      </c>
      <c r="J8" s="3">
        <f t="shared" si="0"/>
        <v>0</v>
      </c>
      <c r="K8" s="3">
        <f t="shared" si="1"/>
        <v>0</v>
      </c>
      <c r="L8" s="4" t="e">
        <f t="shared" si="2"/>
        <v>#DIV/0!</v>
      </c>
      <c r="M8" s="4" t="e">
        <f t="shared" si="2"/>
        <v>#DIV/0!</v>
      </c>
      <c r="N8" s="4" t="e">
        <f t="shared" si="3"/>
        <v>#DIV/0!</v>
      </c>
      <c r="O8" s="4" t="e">
        <f t="shared" si="3"/>
        <v>#DIV/0!</v>
      </c>
      <c r="P8" s="4" t="e">
        <f t="shared" si="4"/>
        <v>#DIV/0!</v>
      </c>
      <c r="Q8" s="4" t="e">
        <f t="shared" si="5"/>
        <v>#DIV/0!</v>
      </c>
      <c r="R8" s="4" t="e">
        <f t="shared" si="6"/>
        <v>#DIV/0!</v>
      </c>
      <c r="S8" s="4" t="e">
        <f t="shared" si="7"/>
        <v>#DIV/0!</v>
      </c>
      <c r="T8" s="4" t="e">
        <f t="shared" si="10"/>
        <v>#DIV/0!</v>
      </c>
      <c r="U8" s="4" t="e">
        <f t="shared" si="8"/>
        <v>#DIV/0!</v>
      </c>
      <c r="V8" s="4" t="e">
        <f t="shared" si="11"/>
        <v>#DIV/0!</v>
      </c>
      <c r="W8" s="3" t="e">
        <f t="shared" si="9"/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and Methodology</vt:lpstr>
      <vt:lpstr>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amogha h d</cp:lastModifiedBy>
  <dcterms:created xsi:type="dcterms:W3CDTF">2026-03-23T19:11:00Z</dcterms:created>
  <dcterms:modified xsi:type="dcterms:W3CDTF">2026-04-10T11:04:08Z</dcterms:modified>
</cp:coreProperties>
</file>